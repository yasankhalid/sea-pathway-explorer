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Tracks" sheetId="2" state="visible" r:id="rId4"/>
    <sheet name="Levels" sheetId="3" state="visible" r:id="rId5"/>
    <sheet name="Courses" sheetId="4" state="visible" r:id="rId6"/>
    <sheet name="Links" sheetId="5" state="visible" r:id="rId7"/>
    <sheet name="Courses still needed" sheetId="6" state="visible" r:id="rId8"/>
  </sheets>
  <definedNames>
    <definedName function="false" hidden="true" localSheetId="3" name="_xlnm._FilterDatabase" vbProcedure="false">Courses!$A$1:$R$16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Short code for the track, lower case, no spaces (for example research). Courses refer to tracks by this key.</t>
        </r>
      </text>
    </comment>
    <comment ref="G1" authorId="0">
      <text>
        <r>
          <rPr>
            <sz val="10"/>
            <rFont val="Arial"/>
            <family val="2"/>
          </rPr>
          <t xml:space="preserve">Optional. Leave blank for the seven SEA tracks to use the theme colour. For a new track, give a colour like #E07A5F.</t>
        </r>
      </text>
    </comment>
    <comment ref="H1" authorId="0">
      <text>
        <r>
          <rPr>
            <sz val="10"/>
            <rFont val="Arial"/>
            <family val="2"/>
          </rPr>
          <t xml:space="preserve">The Catalog listing for this track's pathway hub course. Powers the 'Register for this track' button.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How many micro-credentials a track needs at this level. Programmes count as 3. Gaps show as 'Courses coming soon'.</t>
        </r>
      </text>
    </comment>
    <comment ref="Q1" authorId="0">
      <text>
        <r>
          <rPr>
            <sz val="10"/>
            <rFont val="Arial"/>
            <family val="2"/>
          </rPr>
          <t xml:space="preserve">File name in the badges folder (for example practitioner-level-credential.svg) or a full https:// link.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Unique code, lower case with dashes (for example research-ethics). Keep orient, core, core1, core2 and expert.</t>
        </r>
      </text>
    </comment>
    <comment ref="H1" authorId="0">
      <text>
        <r>
          <rPr>
            <sz val="10"/>
            <rFont val="Arial"/>
            <family val="2"/>
          </rPr>
          <t xml:space="preserve">Track key from the Tracks sheet. Fill Track 2 only when the course counts for two tracks.</t>
        </r>
      </text>
    </comment>
    <comment ref="L1" authorId="0">
      <text>
        <r>
          <rPr>
            <sz val="10"/>
            <rFont val="Arial"/>
            <family val="2"/>
          </rPr>
          <t xml:space="preserve">Badge file in the badges folder (research-ethics.svg) or a full https:// link. Leave blank to show a generated placeholder badge.</t>
        </r>
      </text>
    </comment>
    <comment ref="R1" authorId="0">
      <text>
        <r>
          <rPr>
            <sz val="10"/>
            <rFont val="Arial"/>
            <family val="2"/>
          </rPr>
          <t xml:space="preserve">The course's Canvas Catalog listing. Powers the Enrol button. Must start with https://</t>
        </r>
      </text>
    </comment>
  </commentList>
</comments>
</file>

<file path=xl/sharedStrings.xml><?xml version="1.0" encoding="utf-8"?>
<sst xmlns="http://schemas.openxmlformats.org/spreadsheetml/2006/main" count="394" uniqueCount="300">
  <si>
    <t xml:space="preserve">SEA Learning Pathway: data file</t>
  </si>
  <si>
    <t xml:space="preserve">What this file does</t>
  </si>
  <si>
    <t xml:space="preserve">The explorer builds its map, tracks, levels, badges and Enrol buttons from this file. Edit it, then publish it as pathway-data.xlsx next to index.html.</t>
  </si>
  <si>
    <t xml:space="preserve">Preview before publishing</t>
  </si>
  <si>
    <t xml:space="preserve">In the explorer, switch to Staff, open the Tracks tab and choose Import Excel. The change shows only in your browser until the file is published.</t>
  </si>
  <si>
    <t xml:space="preserve">Sheets</t>
  </si>
  <si>
    <t xml:space="preserve">Tracks</t>
  </si>
  <si>
    <t xml:space="preserve">One row per specialist track. Key is a short code used everywhere else (for example research).</t>
  </si>
  <si>
    <t xml:space="preserve">Levels</t>
  </si>
  <si>
    <t xml:space="preserve">Levels 0 to 5. Keep all six rows; edit the wording, credit numbers and level badge images.</t>
  </si>
  <si>
    <t xml:space="preserve">Courses</t>
  </si>
  <si>
    <t xml:space="preserve">One row per course, programme or recognition. Add new courses as new rows.</t>
  </si>
  <si>
    <t xml:space="preserve">Links</t>
  </si>
  <si>
    <t xml:space="preserve">Prior learning form, Parchment links and the course catalogue.</t>
  </si>
  <si>
    <t xml:space="preserve">Courses still needed</t>
  </si>
  <si>
    <t xml:space="preserve">Calculated list of how many courses each track still needs per level. Read only.</t>
  </si>
  <si>
    <t xml:space="preserve">Column colours</t>
  </si>
  <si>
    <t xml:space="preserve">Navy heading</t>
  </si>
  <si>
    <t xml:space="preserve">Required. The row is rejected if it is empty.</t>
  </si>
  <si>
    <t xml:space="preserve">Slate heading</t>
  </si>
  <si>
    <t xml:space="preserve">Optional. Leave blank if not known yet; the explorer shows 'To be announced'.</t>
  </si>
  <si>
    <t xml:space="preserve">Teal heading, cream cells</t>
  </si>
  <si>
    <t xml:space="preserve">Links. Paste the full https:// address from Canvas Catalog or Parchment.</t>
  </si>
  <si>
    <t xml:space="preserve">Rules</t>
  </si>
  <si>
    <t xml:space="preserve">Keep the headings</t>
  </si>
  <si>
    <t xml:space="preserve">Do not rename or reorder the heading row in any sheet. Extra columns are ignored.</t>
  </si>
  <si>
    <t xml:space="preserve">Keep five rows</t>
  </si>
  <si>
    <t xml:space="preserve">Keep the Courses rows with ID orient, core, core1, core2 and expert. Edit their wording freely.</t>
  </si>
  <si>
    <t xml:space="preserve">Type</t>
  </si>
  <si>
    <t xml:space="preserve">Orientation, SEA Core (Level 1 hub), Core course, Micro-credential, Programme, External programme or Expert recognition. Programmes count as 3 courses.</t>
  </si>
  <si>
    <t xml:space="preserve">Track 1 and Track 2</t>
  </si>
  <si>
    <t xml:space="preserve">Use the track Key. Fill Track 2 only if the course counts for two tracks.</t>
  </si>
  <si>
    <t xml:space="preserve">Badge image</t>
  </si>
  <si>
    <t xml:space="preserve">A file in the badges folder (research-ethics.svg) or a full https:// link. Leave blank and the explorer draws a placeholder badge in the level colour.</t>
  </si>
  <si>
    <t xml:space="preserve">Arabic</t>
  </si>
  <si>
    <t xml:space="preserve">Arabic columns are optional. If one is blank, the English text shows in the Arabic view.</t>
  </si>
  <si>
    <t xml:space="preserve">Example: adding a course</t>
  </si>
  <si>
    <t xml:space="preserve">Column</t>
  </si>
  <si>
    <t xml:space="preserve">Example value</t>
  </si>
  <si>
    <t xml:space="preserve">ID</t>
  </si>
  <si>
    <t xml:space="preserve">action-research-methods</t>
  </si>
  <si>
    <t xml:space="preserve">Name (English)</t>
  </si>
  <si>
    <t xml:space="preserve">Action Research Methods</t>
  </si>
  <si>
    <t xml:space="preserve">Name (Arabic)</t>
  </si>
  <si>
    <t xml:space="preserve">مناهج البحث الإجرائي</t>
  </si>
  <si>
    <t xml:space="preserve">Micro-credential</t>
  </si>
  <si>
    <t xml:space="preserve">Level</t>
  </si>
  <si>
    <t xml:space="preserve">3</t>
  </si>
  <si>
    <t xml:space="preserve">Track 1</t>
  </si>
  <si>
    <t xml:space="preserve">research</t>
  </si>
  <si>
    <t xml:space="preserve">Track 2</t>
  </si>
  <si>
    <t xml:space="preserve">(blank)</t>
  </si>
  <si>
    <t xml:space="preserve">Description (English)</t>
  </si>
  <si>
    <t xml:space="preserve">A Level 3 micro-credential in planning and leading action research.</t>
  </si>
  <si>
    <t xml:space="preserve">action-research-methods.svg</t>
  </si>
  <si>
    <t xml:space="preserve">Time needed</t>
  </si>
  <si>
    <t xml:space="preserve">30 hours</t>
  </si>
  <si>
    <t xml:space="preserve">Format</t>
  </si>
  <si>
    <t xml:space="preserve">Blended</t>
  </si>
  <si>
    <t xml:space="preserve">Next start</t>
  </si>
  <si>
    <t xml:space="preserve">January 2027</t>
  </si>
  <si>
    <t xml:space="preserve">Catalog link</t>
  </si>
  <si>
    <t xml:space="preserve">https://sep.sea.ac.ae/courses/action-research-methods</t>
  </si>
  <si>
    <t xml:space="preserve">The example above is for illustration only; it is not part of the Courses sheet.</t>
  </si>
  <si>
    <t xml:space="preserve">Key</t>
  </si>
  <si>
    <t xml:space="preserve">Description (Arabic)</t>
  </si>
  <si>
    <t xml:space="preserve">Icon</t>
  </si>
  <si>
    <t xml:space="preserve">Colour</t>
  </si>
  <si>
    <t xml:space="preserve">Registration link (Catalog)</t>
  </si>
  <si>
    <t xml:space="preserve">digital</t>
  </si>
  <si>
    <t xml:space="preserve">Digital Learning and AI</t>
  </si>
  <si>
    <t xml:space="preserve">التعلم الرقمي والذكاء الاصطناعي</t>
  </si>
  <si>
    <t xml:space="preserve">Digital pedagogy, learning design and responsible AI.</t>
  </si>
  <si>
    <t xml:space="preserve">أصول التدريس الرقمية وتصميم التعلم والاستخدام المسؤول للذكاء الاصطناعي.</t>
  </si>
  <si>
    <t xml:space="preserve">tl</t>
  </si>
  <si>
    <t xml:space="preserve">Teaching and Learning</t>
  </si>
  <si>
    <t xml:space="preserve">التعليم والتعلم</t>
  </si>
  <si>
    <t xml:space="preserve">Planning, instruction, feedback and learner engagement.</t>
  </si>
  <si>
    <t xml:space="preserve">التخطيط والتدريس والتغذية الراجعة وإشراك المتعلمين.</t>
  </si>
  <si>
    <t xml:space="preserve">ec</t>
  </si>
  <si>
    <t xml:space="preserve">Early Childhood</t>
  </si>
  <si>
    <t xml:space="preserve">الطفولة المبكرة</t>
  </si>
  <si>
    <t xml:space="preserve">Play-based learning, development and family partnership.</t>
  </si>
  <si>
    <t xml:space="preserve">التعلم القائم على اللعب والنمو والشراكة مع الأسرة.</t>
  </si>
  <si>
    <t xml:space="preserve">lead</t>
  </si>
  <si>
    <t xml:space="preserve">Leadership and Improvement</t>
  </si>
  <si>
    <t xml:space="preserve">القيادة والتحسين</t>
  </si>
  <si>
    <t xml:space="preserve">Instructional leadership, school improvement and quality.</t>
  </si>
  <si>
    <t xml:space="preserve">القيادة التعليمية وتحسين المدرسة والجودة.</t>
  </si>
  <si>
    <t xml:space="preserve">Research and Inquiry</t>
  </si>
  <si>
    <t xml:space="preserve">البحث والاستقصاء</t>
  </si>
  <si>
    <t xml:space="preserve">Practitioner and action research, evidence use, research ethics and dissemination.</t>
  </si>
  <si>
    <t xml:space="preserve">بحث الممارسين والبحث الإجرائي واستخدام الأدلة وأخلاقيات البحث ونشره.</t>
  </si>
  <si>
    <t xml:space="preserve">https://sep.sea.ac.ae/courses/sea-pathway-hub-research-and-inquiry-beta</t>
  </si>
  <si>
    <t xml:space="preserve">assess</t>
  </si>
  <si>
    <t xml:space="preserve">Assessment and Data</t>
  </si>
  <si>
    <t xml:space="preserve">التقييم والبيانات</t>
  </si>
  <si>
    <t xml:space="preserve">Assessment design, moderation and data literacy.</t>
  </si>
  <si>
    <t xml:space="preserve">تصميم التقييم ومراجعته والإلمام بالبيانات.</t>
  </si>
  <si>
    <t xml:space="preserve">incl</t>
  </si>
  <si>
    <t xml:space="preserve">Inclusion and Wellbeing</t>
  </si>
  <si>
    <t xml:space="preserve">الدمج والرفاه</t>
  </si>
  <si>
    <t xml:space="preserve">Inclusive practice, learner support and wellbeing.</t>
  </si>
  <si>
    <t xml:space="preserve">الممارسة الدامجة ودعم المتعلمين والرفاه.</t>
  </si>
  <si>
    <t xml:space="preserve">Theme (English)</t>
  </si>
  <si>
    <t xml:space="preserve">Theme (Arabic)</t>
  </si>
  <si>
    <t xml:space="preserve">QFEmirates band (English)</t>
  </si>
  <si>
    <t xml:space="preserve">QFEmirates band (Arabic)</t>
  </si>
  <si>
    <t xml:space="preserve">Requirement (English)</t>
  </si>
  <si>
    <t xml:space="preserve">Requirement (Arabic)</t>
  </si>
  <si>
    <t xml:space="preserve">Credential earned (English)</t>
  </si>
  <si>
    <t xml:space="preserve">Credential earned (Arabic)</t>
  </si>
  <si>
    <t xml:space="preserve">Courses needed</t>
  </si>
  <si>
    <t xml:space="preserve">Valid for (English)</t>
  </si>
  <si>
    <t xml:space="preserve">Valid for (Arabic)</t>
  </si>
  <si>
    <t xml:space="preserve">Unlocks (English)</t>
  </si>
  <si>
    <t xml:space="preserve">Unlocks (Arabic)</t>
  </si>
  <si>
    <t xml:space="preserve">Orientation</t>
  </si>
  <si>
    <t xml:space="preserve">التهيئة</t>
  </si>
  <si>
    <t xml:space="preserve">Explore and get started</t>
  </si>
  <si>
    <t xml:space="preserve">استكشف وابدأ</t>
  </si>
  <si>
    <t xml:space="preserve">No band</t>
  </si>
  <si>
    <t xml:space="preserve">بدون نطاق</t>
  </si>
  <si>
    <t xml:space="preserve">Introductory learning, events and open resources to explore.</t>
  </si>
  <si>
    <t xml:space="preserve">تعلّم تمهيدي وفعاليات وموارد مفتوحة للاستكشاف.</t>
  </si>
  <si>
    <t xml:space="preserve">Participation Record</t>
  </si>
  <si>
    <t xml:space="preserve">سجل المشاركة</t>
  </si>
  <si>
    <t xml:space="preserve">Not credentialed</t>
  </si>
  <si>
    <t xml:space="preserve">غير معتمد</t>
  </si>
  <si>
    <t xml:space="preserve">Meet SEA and plan your route</t>
  </si>
  <si>
    <t xml:space="preserve">التعرّف على الأكاديمية والتخطيط لمسارك</t>
  </si>
  <si>
    <t xml:space="preserve">Explorer</t>
  </si>
  <si>
    <t xml:space="preserve">المستكشف</t>
  </si>
  <si>
    <t xml:space="preserve">Build foundations</t>
  </si>
  <si>
    <t xml:space="preserve">بناء الأسس</t>
  </si>
  <si>
    <t xml:space="preserve">QFEmirates band 4–5</t>
  </si>
  <si>
    <t xml:space="preserve">الإطار الوطني للمؤهلات 4–5</t>
  </si>
  <si>
    <t xml:space="preserve">Complete the Core: 2 micro-credentials on shared professional foundations.</t>
  </si>
  <si>
    <t xml:space="preserve">أكمل الجوهر: شهادتان مصغّرتان في الأسس المهنية المشتركة.</t>
  </si>
  <si>
    <t xml:space="preserve">Explorer Level Credential</t>
  </si>
  <si>
    <t xml:space="preserve">شهادة مستوى المستكشف</t>
  </si>
  <si>
    <t xml:space="preserve">Does not expire</t>
  </si>
  <si>
    <t xml:space="preserve">لا تنتهي صلاحيتها</t>
  </si>
  <si>
    <t xml:space="preserve">Choose one of seven specialist tracks</t>
  </si>
  <si>
    <t xml:space="preserve">اختيار أحد المسارات التخصصية السبعة</t>
  </si>
  <si>
    <t xml:space="preserve">explorer-level-credential</t>
  </si>
  <si>
    <t xml:space="preserve">Practitioner</t>
  </si>
  <si>
    <t xml:space="preserve">الممارس</t>
  </si>
  <si>
    <t xml:space="preserve">Develop practice</t>
  </si>
  <si>
    <t xml:space="preserve">تطوير الممارسة</t>
  </si>
  <si>
    <t xml:space="preserve">QFEmirates band 5–6</t>
  </si>
  <si>
    <t xml:space="preserve">الإطار الوطني للمؤهلات 5–6</t>
  </si>
  <si>
    <t xml:space="preserve">Complete 3 micro-credentials in a chosen track, a practice portfolio and one observation.</t>
  </si>
  <si>
    <t xml:space="preserve">أكمل 3 شهادات مصغّرة في مسار مختار، وملف ممارسة، وملاحظة صفية واحدة.</t>
  </si>
  <si>
    <t xml:space="preserve">Practitioner Level Credential</t>
  </si>
  <si>
    <t xml:space="preserve">شهادة مستوى الممارس</t>
  </si>
  <si>
    <t xml:space="preserve">5 years</t>
  </si>
  <si>
    <t xml:space="preserve">5 سنوات</t>
  </si>
  <si>
    <t xml:space="preserve">Advanced learning in your track</t>
  </si>
  <si>
    <t xml:space="preserve">التعلّم المتقدم في مسارك</t>
  </si>
  <si>
    <t xml:space="preserve">practitioner-level-credential</t>
  </si>
  <si>
    <t xml:space="preserve">Advanced Practitioner</t>
  </si>
  <si>
    <t xml:space="preserve">الممارس المتقدم</t>
  </si>
  <si>
    <t xml:space="preserve">Deepen expertise</t>
  </si>
  <si>
    <t xml:space="preserve">تعميق الخبرة</t>
  </si>
  <si>
    <t xml:space="preserve">QFEmirates band 6–7</t>
  </si>
  <si>
    <t xml:space="preserve">الإطار الوطني للمؤهلات 6–7</t>
  </si>
  <si>
    <t xml:space="preserve">Complete 3 advanced micro-credentials, a Leadership Badge and a practitioner inquiry.</t>
  </si>
  <si>
    <t xml:space="preserve">أكمل 3 شهادات مصغّرة متقدمة، وشارة القيادة، واستقصاء الممارس.</t>
  </si>
  <si>
    <t xml:space="preserve">Advanced Practitioner Level Credential</t>
  </si>
  <si>
    <t xml:space="preserve">شهادة مستوى الممارس المتقدم</t>
  </si>
  <si>
    <t xml:space="preserve">Mentor and Assessor roles</t>
  </si>
  <si>
    <t xml:space="preserve">دورا المرشد والمقيّم</t>
  </si>
  <si>
    <t xml:space="preserve">advanced-practitioner-level-credential</t>
  </si>
  <si>
    <t xml:space="preserve">Leader</t>
  </si>
  <si>
    <t xml:space="preserve">القائد</t>
  </si>
  <si>
    <t xml:space="preserve">Drive change</t>
  </si>
  <si>
    <t xml:space="preserve">قيادة التغيير</t>
  </si>
  <si>
    <t xml:space="preserve">QFEmirates band 7–8</t>
  </si>
  <si>
    <t xml:space="preserve">الإطار الوطني للمؤهلات 7–8</t>
  </si>
  <si>
    <t xml:space="preserve">Complete 2 micro-credentials and an improvement project reviewed by a panel.</t>
  </si>
  <si>
    <t xml:space="preserve">أكمل شهادتين مصغّرتين ومشروع تحسين تراجعه لجنة.</t>
  </si>
  <si>
    <t xml:space="preserve">Leader Level Credential</t>
  </si>
  <si>
    <t xml:space="preserve">شهادة مستوى القائد</t>
  </si>
  <si>
    <t xml:space="preserve">Co-design SEA courses</t>
  </si>
  <si>
    <t xml:space="preserve">المشاركة في تصميم مقررات الأكاديمية</t>
  </si>
  <si>
    <t xml:space="preserve">leader-level-credential</t>
  </si>
  <si>
    <t xml:space="preserve">Expert</t>
  </si>
  <si>
    <t xml:space="preserve">الخبير</t>
  </si>
  <si>
    <t xml:space="preserve">Shape the future</t>
  </si>
  <si>
    <t xml:space="preserve">صناعة المستقبل</t>
  </si>
  <si>
    <t xml:space="preserve">Panel recognition</t>
  </si>
  <si>
    <t xml:space="preserve">تقدير من لجنة</t>
  </si>
  <si>
    <t xml:space="preserve">Sustained contribution to the profession, through a portfolio reviewed by a panel.</t>
  </si>
  <si>
    <t xml:space="preserve">إسهام مستدام في المهنة عبر ملف إنجاز تراجعه لجنة.</t>
  </si>
  <si>
    <t xml:space="preserve">Expert Recognition</t>
  </si>
  <si>
    <t xml:space="preserve">تقدير الخبير</t>
  </si>
  <si>
    <t xml:space="preserve">3 years, renewable</t>
  </si>
  <si>
    <t xml:space="preserve">3 سنوات قابلة للتجديد</t>
  </si>
  <si>
    <t xml:space="preserve">Listing on the public register</t>
  </si>
  <si>
    <t xml:space="preserve">الإدراج في السجل العام</t>
  </si>
  <si>
    <t xml:space="preserve">expert-recognition</t>
  </si>
  <si>
    <t xml:space="preserve">Short name (English)</t>
  </si>
  <si>
    <t xml:space="preserve">Short name (Arabic)</t>
  </si>
  <si>
    <t xml:space="preserve">Outcome (English)</t>
  </si>
  <si>
    <t xml:space="preserve">Outcome (Arabic)</t>
  </si>
  <si>
    <t xml:space="preserve">orient</t>
  </si>
  <si>
    <t xml:space="preserve">Introductory learning, events and open resources. Earns a Participation Record, an engagement reward rather than a credential.</t>
  </si>
  <si>
    <t xml:space="preserve">تعلّم تمهيدي وفعاليات وموارد مفتوحة. تمنح سجل مشاركة، وهو مكافأة تفاعل وليس شهادة.</t>
  </si>
  <si>
    <t xml:space="preserve">core</t>
  </si>
  <si>
    <t xml:space="preserve">SEA Core</t>
  </si>
  <si>
    <t xml:space="preserve">جوهر الأكاديمية</t>
  </si>
  <si>
    <t xml:space="preserve">SEA Core (Level 1 hub)</t>
  </si>
  <si>
    <t xml:space="preserve">The shared foundation for every learner. Two Core micro-credentials earn the Explorer Level Credential, which never expires.</t>
  </si>
  <si>
    <t xml:space="preserve">الأساس المشترك لكل متعلم. تمنح الشهادتان المصغّرتان الأساسيتان شهادة مستوى المستكشف التي لا تنتهي صلاحيتها.</t>
  </si>
  <si>
    <t xml:space="preserve">core1</t>
  </si>
  <si>
    <t xml:space="preserve">Core course 1</t>
  </si>
  <si>
    <t xml:space="preserve">المقرر الأساسي 1</t>
  </si>
  <si>
    <t xml:space="preserve">Core course</t>
  </si>
  <si>
    <t xml:space="preserve">Shared professional foundations, taken by every learner before choosing a track. Title to be confirmed.</t>
  </si>
  <si>
    <t xml:space="preserve">أسس مهنية مشتركة يدرسها كل متعلم قبل اختيار المسار. العنوان قيد التأكيد.</t>
  </si>
  <si>
    <t xml:space="preserve">core2</t>
  </si>
  <si>
    <t xml:space="preserve">Core course 2</t>
  </si>
  <si>
    <t xml:space="preserve">المقرر الأساسي 2</t>
  </si>
  <si>
    <t xml:space="preserve">ddl</t>
  </si>
  <si>
    <t xml:space="preserve">Designing Digital Learning</t>
  </si>
  <si>
    <t xml:space="preserve">تصميم التعلّم الرقمي</t>
  </si>
  <si>
    <t xml:space="preserve">Counts toward Digital Learning and AI and toward Teaching and Learning.</t>
  </si>
  <si>
    <t xml:space="preserve">تُحتسب ضمن مسار التعلم الرقمي والذكاء الاصطناعي ومسار التعليم والتعلم.</t>
  </si>
  <si>
    <t xml:space="preserve">designing-digital-learning</t>
  </si>
  <si>
    <t xml:space="preserve">ltp</t>
  </si>
  <si>
    <t xml:space="preserve">Learning Through Play</t>
  </si>
  <si>
    <t xml:space="preserve">التعلّم من خلال اللعب</t>
  </si>
  <si>
    <t xml:space="preserve">Counts toward Teaching and Learning and toward Early Childhood.</t>
  </si>
  <si>
    <t xml:space="preserve">تُحتسب ضمن مسار التعليم والتعلم ومسار الطفولة المبكرة.</t>
  </si>
  <si>
    <t xml:space="preserve">learning-through-play</t>
  </si>
  <si>
    <t xml:space="preserve">ecect</t>
  </si>
  <si>
    <t xml:space="preserve">ECEC for Teachers</t>
  </si>
  <si>
    <t xml:space="preserve">التعليم والرعاية في الطفولة المبكرة للمعلمين</t>
  </si>
  <si>
    <t xml:space="preserve">Programme</t>
  </si>
  <si>
    <t xml:space="preserve">An SEA programme of 12 courses, delivered as 3 micro-credentials. Completing it covers the Level 2 courses for Early Childhood.</t>
  </si>
  <si>
    <t xml:space="preserve">برنامج من الأكاديمية يضم 12 مقررًا تُقدَّم في 3 شهادات مصغّرة، ويغطي مقررات المستوى 2 في مسار الطفولة المبكرة.</t>
  </si>
  <si>
    <t xml:space="preserve">ecec-for-teachers</t>
  </si>
  <si>
    <t xml:space="preserve">rd</t>
  </si>
  <si>
    <t xml:space="preserve">Research Design</t>
  </si>
  <si>
    <t xml:space="preserve">تصميم البحث</t>
  </si>
  <si>
    <t xml:space="preserve">A Practitioner-level course in the Research and Inquiry track.</t>
  </si>
  <si>
    <t xml:space="preserve">مقرر بمستوى الممارس في مسار البحث والاستقصاء.</t>
  </si>
  <si>
    <t xml:space="preserve">research-design</t>
  </si>
  <si>
    <t xml:space="preserve">re</t>
  </si>
  <si>
    <t xml:space="preserve">Research Ethics</t>
  </si>
  <si>
    <t xml:space="preserve">أخلاقيات البحث</t>
  </si>
  <si>
    <t xml:space="preserve">research-ethics</t>
  </si>
  <si>
    <t xml:space="preserve">eip</t>
  </si>
  <si>
    <t xml:space="preserve">Evidence-Informed Practice</t>
  </si>
  <si>
    <t xml:space="preserve">الممارسة المستنيرة بالأدلة</t>
  </si>
  <si>
    <t xml:space="preserve">Counts toward Research and Inquiry and toward Assessment and Data.</t>
  </si>
  <si>
    <t xml:space="preserve">تُحتسب ضمن مسار البحث والاستقصاء ومسار التقييم والبيانات.</t>
  </si>
  <si>
    <t xml:space="preserve">evidence-informed-practice</t>
  </si>
  <si>
    <t xml:space="preserve">ia</t>
  </si>
  <si>
    <t xml:space="preserve">Inclusive Assessment</t>
  </si>
  <si>
    <t xml:space="preserve">التقييم الدامج</t>
  </si>
  <si>
    <t xml:space="preserve">Counts toward Assessment and Data and toward Inclusion and Wellbeing.</t>
  </si>
  <si>
    <t xml:space="preserve">تُحتسب ضمن مسار التقييم والبيانات ومسار الدمج والرفاه.</t>
  </si>
  <si>
    <t xml:space="preserve">inclusive-assessment</t>
  </si>
  <si>
    <t xml:space="preserve">ececl</t>
  </si>
  <si>
    <t xml:space="preserve">ECEC for Leaders</t>
  </si>
  <si>
    <t xml:space="preserve">التعليم والرعاية في الطفولة المبكرة للقادة</t>
  </si>
  <si>
    <t xml:space="preserve">An SEA programme of 9 courses, delivered as 3 micro-credentials, for Advanced Practitioner in Early Childhood. It also counts toward Leadership and Improvement.</t>
  </si>
  <si>
    <t xml:space="preserve">برنامج من الأكاديمية يضم 9 مقررات تُقدَّم في 3 شهادات مصغّرة لمستوى الممارس المتقدم في الطفولة المبكرة، ويُحتسب أيضًا ضمن مسار القيادة والتحسين.</t>
  </si>
  <si>
    <t xml:space="preserve">ecec-for-leaders</t>
  </si>
  <si>
    <t xml:space="preserve">pi</t>
  </si>
  <si>
    <t xml:space="preserve">Practitioner Inquiry</t>
  </si>
  <si>
    <t xml:space="preserve">استقصاء الممارس</t>
  </si>
  <si>
    <t xml:space="preserve">Counts toward Leadership and Improvement and toward Research and Inquiry. A practitioner inquiry is required at Advanced Practitioner.</t>
  </si>
  <si>
    <t xml:space="preserve">تُحتسب ضمن مسار القيادة والتحسين ومسار البحث والاستقصاء. استقصاء الممارس متطلب في مستوى الممارس المتقدم.</t>
  </si>
  <si>
    <t xml:space="preserve">practitioner-inquiry</t>
  </si>
  <si>
    <t xml:space="preserve">cam</t>
  </si>
  <si>
    <t xml:space="preserve">Cambridge Certificate in Educational Leadership</t>
  </si>
  <si>
    <t xml:space="preserve">شهادة كامبريدج في القيادة التربوية</t>
  </si>
  <si>
    <t xml:space="preserve">Cambridge Certificate</t>
  </si>
  <si>
    <t xml:space="preserve">شهادة كامبريدج</t>
  </si>
  <si>
    <t xml:space="preserve">External programme</t>
  </si>
  <si>
    <t xml:space="preserve">A Cambridge International programme, recognised in your digital wallet. It counts toward the Leader Level Credential.</t>
  </si>
  <si>
    <t xml:space="preserve">برنامج من كامبريدج الدولية معترف به في محفظتك الرقمية، ويُحتسب ضمن شهادة مستوى القائد.</t>
  </si>
  <si>
    <t xml:space="preserve">expert</t>
  </si>
  <si>
    <t xml:space="preserve">Expert recognition</t>
  </si>
  <si>
    <t xml:space="preserve">Level 5, open from any track. A contribution portfolio reviewed by a panel. Recognised experts are listed on a public register.</t>
  </si>
  <si>
    <t xml:space="preserve">المستوى الخامس، متاح من أي مسار. ملف إسهامات تراجعه لجنة، ويُدرج الخبراء المعتمدون في سجل عام.</t>
  </si>
  <si>
    <t xml:space="preserve">Setting</t>
  </si>
  <si>
    <t xml:space="preserve">Link</t>
  </si>
  <si>
    <t xml:space="preserve">Prior learning application</t>
  </si>
  <si>
    <t xml:space="preserve">Parchment wallet help</t>
  </si>
  <si>
    <t xml:space="preserve">Official progress (Parchment)</t>
  </si>
  <si>
    <t xml:space="preserve">https://sea.badges.parchment.eu/</t>
  </si>
  <si>
    <t xml:space="preserve">Course catalogue</t>
  </si>
  <si>
    <t xml:space="preserve">Track</t>
  </si>
  <si>
    <t xml:space="preserve">Courses in the file</t>
  </si>
  <si>
    <t xml:space="preserve">Still to add</t>
  </si>
  <si>
    <t xml:space="preserve">Calculated from the Courses and Levels sheets. Programmes count as 3 courses. The explorer ignores this sheet.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</si>
</sst>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.5"/>
      <color rgb="FF1A2766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sz val="10"/>
      <color rgb="FF0E6B8C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2766"/>
        <bgColor rgb="FF1F2937"/>
      </patternFill>
    </fill>
    <fill>
      <patternFill patternType="solid">
        <fgColor rgb="FF4F5A7E"/>
        <bgColor rgb="FF6B7280"/>
      </patternFill>
    </fill>
    <fill>
      <patternFill patternType="solid">
        <fgColor rgb="FF0E6B8C"/>
        <bgColor rgb="FF008080"/>
      </patternFill>
    </fill>
    <fill>
      <patternFill patternType="solid">
        <fgColor rgb="FFFFF8D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E0"/>
      </left>
      <right style="thin">
        <color rgb="FFC9D1E0"/>
      </right>
      <top style="thin">
        <color rgb="FFC9D1E0"/>
      </top>
      <bottom style="thin">
        <color rgb="FFC9D1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A276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F5A7E"/>
          <bgColor rgb="FF000000"/>
        </patternFill>
      </fill>
    </dxf>
    <dxf>
      <fill>
        <patternFill patternType="solid">
          <fgColor rgb="FF0E6B8C"/>
          <bgColor rgb="FF000000"/>
        </patternFill>
      </fill>
    </dxf>
    <dxf>
      <fill>
        <patternFill patternType="solid">
          <fgColor rgb="FFFFF8D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B8C"/>
      <rgbColor rgb="FFC0C0C0"/>
      <rgbColor rgb="FF808080"/>
      <rgbColor rgb="FF9999FF"/>
      <rgbColor rgb="FF993366"/>
      <rgbColor rgb="FFFFF8DC"/>
      <rgbColor rgb="FFCCFFFF"/>
      <rgbColor rgb="FF660066"/>
      <rgbColor rgb="FFFF8080"/>
      <rgbColor rgb="FF0066CC"/>
      <rgbColor rgb="FFC9D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A2766"/>
      <rgbColor rgb="FF339966"/>
      <rgbColor rgb="FF003300"/>
      <rgbColor rgb="FF333300"/>
      <rgbColor rgb="FF993300"/>
      <rgbColor rgb="FF993366"/>
      <rgbColor rgb="FF4F5A7E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6"/>
  </cols>
  <sheetData>
    <row r="1" customFormat="false" ht="26.8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25.35" hidden="false" customHeight="false" outlineLevel="0" collapsed="false">
      <c r="A3" s="2" t="s">
        <v>1</v>
      </c>
      <c r="B3" s="2" t="s">
        <v>2</v>
      </c>
    </row>
    <row r="4" customFormat="false" ht="25.35" hidden="false" customHeight="false" outlineLevel="0" collapsed="false">
      <c r="A4" s="2" t="s">
        <v>3</v>
      </c>
      <c r="B4" s="2" t="s">
        <v>4</v>
      </c>
    </row>
    <row r="5" customFormat="false" ht="15" hidden="false" customHeight="false" outlineLevel="0" collapsed="false">
      <c r="A5" s="2"/>
      <c r="B5" s="2"/>
    </row>
    <row r="6" customFormat="false" ht="15" hidden="false" customHeight="false" outlineLevel="0" collapsed="false">
      <c r="A6" s="1" t="s">
        <v>5</v>
      </c>
      <c r="B6" s="2"/>
    </row>
    <row r="7" customFormat="false" ht="15" hidden="false" customHeight="false" outlineLevel="0" collapsed="false">
      <c r="A7" s="2" t="s">
        <v>6</v>
      </c>
      <c r="B7" s="2" t="s">
        <v>7</v>
      </c>
    </row>
    <row r="8" customFormat="false" ht="15" hidden="false" customHeight="false" outlineLevel="0" collapsed="false">
      <c r="A8" s="2" t="s">
        <v>8</v>
      </c>
      <c r="B8" s="2" t="s">
        <v>9</v>
      </c>
    </row>
    <row r="9" customFormat="false" ht="15" hidden="false" customHeight="false" outlineLevel="0" collapsed="false">
      <c r="A9" s="2" t="s">
        <v>10</v>
      </c>
      <c r="B9" s="2" t="s">
        <v>11</v>
      </c>
    </row>
    <row r="10" customFormat="false" ht="15" hidden="false" customHeight="false" outlineLevel="0" collapsed="false">
      <c r="A10" s="2" t="s">
        <v>12</v>
      </c>
      <c r="B10" s="2" t="s">
        <v>13</v>
      </c>
    </row>
    <row r="11" customFormat="false" ht="15" hidden="false" customHeight="false" outlineLevel="0" collapsed="false">
      <c r="A11" s="2" t="s">
        <v>14</v>
      </c>
      <c r="B11" s="2" t="s">
        <v>15</v>
      </c>
    </row>
    <row r="12" customFormat="false" ht="15" hidden="false" customHeight="false" outlineLevel="0" collapsed="false">
      <c r="A12" s="2"/>
      <c r="B12" s="2"/>
    </row>
    <row r="13" customFormat="false" ht="15" hidden="false" customHeight="false" outlineLevel="0" collapsed="false">
      <c r="A13" s="1" t="s">
        <v>16</v>
      </c>
      <c r="B13" s="2"/>
    </row>
    <row r="14" customFormat="false" ht="15" hidden="false" customHeight="false" outlineLevel="0" collapsed="false">
      <c r="A14" s="3" t="s">
        <v>17</v>
      </c>
      <c r="B14" s="2" t="s">
        <v>18</v>
      </c>
    </row>
    <row r="15" customFormat="false" ht="15" hidden="false" customHeight="false" outlineLevel="0" collapsed="false">
      <c r="A15" s="4" t="s">
        <v>19</v>
      </c>
      <c r="B15" s="2" t="s">
        <v>20</v>
      </c>
    </row>
    <row r="16" customFormat="false" ht="15" hidden="false" customHeight="false" outlineLevel="0" collapsed="false">
      <c r="A16" s="5" t="s">
        <v>21</v>
      </c>
      <c r="B16" s="2" t="s">
        <v>22</v>
      </c>
    </row>
    <row r="17" customFormat="false" ht="15" hidden="false" customHeight="false" outlineLevel="0" collapsed="false">
      <c r="A17" s="2"/>
      <c r="B17" s="2"/>
    </row>
    <row r="18" customFormat="false" ht="15" hidden="false" customHeight="false" outlineLevel="0" collapsed="false">
      <c r="A18" s="1" t="s">
        <v>23</v>
      </c>
      <c r="B18" s="2"/>
    </row>
    <row r="19" customFormat="false" ht="15" hidden="false" customHeight="false" outlineLevel="0" collapsed="false">
      <c r="A19" s="2" t="s">
        <v>24</v>
      </c>
      <c r="B19" s="2" t="s">
        <v>25</v>
      </c>
    </row>
    <row r="20" customFormat="false" ht="15" hidden="false" customHeight="false" outlineLevel="0" collapsed="false">
      <c r="A20" s="2" t="s">
        <v>26</v>
      </c>
      <c r="B20" s="2" t="s">
        <v>27</v>
      </c>
    </row>
    <row r="21" customFormat="false" ht="25.35" hidden="false" customHeight="false" outlineLevel="0" collapsed="false">
      <c r="A21" s="2" t="s">
        <v>28</v>
      </c>
      <c r="B21" s="2" t="s">
        <v>29</v>
      </c>
    </row>
    <row r="22" customFormat="false" ht="15" hidden="false" customHeight="false" outlineLevel="0" collapsed="false">
      <c r="A22" s="2" t="s">
        <v>30</v>
      </c>
      <c r="B22" s="2" t="s">
        <v>31</v>
      </c>
    </row>
    <row r="23" customFormat="false" ht="25.35" hidden="false" customHeight="false" outlineLevel="0" collapsed="false">
      <c r="A23" s="2" t="s">
        <v>32</v>
      </c>
      <c r="B23" s="2" t="s">
        <v>33</v>
      </c>
    </row>
    <row r="24" customFormat="false" ht="15" hidden="false" customHeight="false" outlineLevel="0" collapsed="false">
      <c r="A24" s="2" t="s">
        <v>34</v>
      </c>
      <c r="B24" s="2" t="s">
        <v>35</v>
      </c>
    </row>
    <row r="25" customFormat="false" ht="15" hidden="false" customHeight="false" outlineLevel="0" collapsed="false">
      <c r="A25" s="2"/>
      <c r="B25" s="2"/>
    </row>
    <row r="26" customFormat="false" ht="26.85" hidden="false" customHeight="false" outlineLevel="0" collapsed="false">
      <c r="A26" s="1" t="s">
        <v>36</v>
      </c>
      <c r="B26" s="2"/>
    </row>
    <row r="27" customFormat="false" ht="15" hidden="false" customHeight="false" outlineLevel="0" collapsed="false">
      <c r="A27" s="4" t="s">
        <v>37</v>
      </c>
      <c r="B27" s="4" t="s">
        <v>38</v>
      </c>
    </row>
    <row r="28" customFormat="false" ht="15" hidden="false" customHeight="false" outlineLevel="0" collapsed="false">
      <c r="A28" s="2" t="s">
        <v>39</v>
      </c>
      <c r="B28" s="6" t="s">
        <v>40</v>
      </c>
    </row>
    <row r="29" customFormat="false" ht="15" hidden="false" customHeight="false" outlineLevel="0" collapsed="false">
      <c r="A29" s="2" t="s">
        <v>41</v>
      </c>
      <c r="B29" s="6" t="s">
        <v>42</v>
      </c>
    </row>
    <row r="30" customFormat="false" ht="15" hidden="false" customHeight="false" outlineLevel="0" collapsed="false">
      <c r="A30" s="2" t="s">
        <v>43</v>
      </c>
      <c r="B30" s="6" t="s">
        <v>44</v>
      </c>
    </row>
    <row r="31" customFormat="false" ht="15" hidden="false" customHeight="false" outlineLevel="0" collapsed="false">
      <c r="A31" s="2" t="s">
        <v>28</v>
      </c>
      <c r="B31" s="6" t="s">
        <v>45</v>
      </c>
    </row>
    <row r="32" customFormat="false" ht="15" hidden="false" customHeight="false" outlineLevel="0" collapsed="false">
      <c r="A32" s="2" t="s">
        <v>46</v>
      </c>
      <c r="B32" s="6" t="s">
        <v>47</v>
      </c>
    </row>
    <row r="33" customFormat="false" ht="15" hidden="false" customHeight="false" outlineLevel="0" collapsed="false">
      <c r="A33" s="2" t="s">
        <v>48</v>
      </c>
      <c r="B33" s="6" t="s">
        <v>49</v>
      </c>
    </row>
    <row r="34" customFormat="false" ht="15" hidden="false" customHeight="false" outlineLevel="0" collapsed="false">
      <c r="A34" s="2" t="s">
        <v>50</v>
      </c>
      <c r="B34" s="6" t="s">
        <v>51</v>
      </c>
    </row>
    <row r="35" customFormat="false" ht="15" hidden="false" customHeight="false" outlineLevel="0" collapsed="false">
      <c r="A35" s="2" t="s">
        <v>52</v>
      </c>
      <c r="B35" s="6" t="s">
        <v>53</v>
      </c>
    </row>
    <row r="36" customFormat="false" ht="15" hidden="false" customHeight="false" outlineLevel="0" collapsed="false">
      <c r="A36" s="2" t="s">
        <v>32</v>
      </c>
      <c r="B36" s="6" t="s">
        <v>54</v>
      </c>
    </row>
    <row r="37" customFormat="false" ht="15" hidden="false" customHeight="false" outlineLevel="0" collapsed="false">
      <c r="A37" s="2" t="s">
        <v>55</v>
      </c>
      <c r="B37" s="6" t="s">
        <v>56</v>
      </c>
    </row>
    <row r="38" customFormat="false" ht="15" hidden="false" customHeight="false" outlineLevel="0" collapsed="false">
      <c r="A38" s="2" t="s">
        <v>57</v>
      </c>
      <c r="B38" s="6" t="s">
        <v>58</v>
      </c>
    </row>
    <row r="39" customFormat="false" ht="15" hidden="false" customHeight="false" outlineLevel="0" collapsed="false">
      <c r="A39" s="2" t="s">
        <v>59</v>
      </c>
      <c r="B39" s="6" t="s">
        <v>60</v>
      </c>
    </row>
    <row r="40" customFormat="false" ht="15" hidden="false" customHeight="false" outlineLevel="0" collapsed="false">
      <c r="A40" s="2" t="s">
        <v>61</v>
      </c>
      <c r="B40" s="6" t="s">
        <v>62</v>
      </c>
    </row>
    <row r="42" customFormat="false" ht="15" hidden="false" customHeight="false" outlineLevel="0" collapsed="false">
      <c r="A42" s="7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8"/>
    <col collapsed="false" customWidth="true" hidden="false" outlineLevel="0" max="5" min="4" style="0" width="48"/>
    <col collapsed="false" customWidth="true" hidden="false" outlineLevel="0" max="7" min="6" style="0" width="11"/>
    <col collapsed="false" customWidth="true" hidden="false" outlineLevel="0" max="8" min="8" style="0" width="52"/>
  </cols>
  <sheetData>
    <row r="1" customFormat="false" ht="33.75" hidden="false" customHeight="true" outlineLevel="0" collapsed="false">
      <c r="A1" s="8" t="s">
        <v>64</v>
      </c>
      <c r="B1" s="8" t="s">
        <v>41</v>
      </c>
      <c r="C1" s="9" t="s">
        <v>43</v>
      </c>
      <c r="D1" s="9" t="s">
        <v>52</v>
      </c>
      <c r="E1" s="9" t="s">
        <v>65</v>
      </c>
      <c r="F1" s="9" t="s">
        <v>66</v>
      </c>
      <c r="G1" s="9" t="s">
        <v>67</v>
      </c>
      <c r="H1" s="10" t="s">
        <v>68</v>
      </c>
    </row>
    <row r="2" customFormat="false" ht="15" hidden="false" customHeight="false" outlineLevel="0" collapsed="false">
      <c r="A2" s="11" t="s">
        <v>69</v>
      </c>
      <c r="B2" s="11" t="s">
        <v>70</v>
      </c>
      <c r="C2" s="12" t="s">
        <v>71</v>
      </c>
      <c r="D2" s="11" t="s">
        <v>72</v>
      </c>
      <c r="E2" s="12" t="s">
        <v>73</v>
      </c>
      <c r="F2" s="11" t="s">
        <v>69</v>
      </c>
      <c r="G2" s="11"/>
      <c r="H2" s="13"/>
    </row>
    <row r="3" customFormat="false" ht="15" hidden="false" customHeight="false" outlineLevel="0" collapsed="false">
      <c r="A3" s="11" t="s">
        <v>74</v>
      </c>
      <c r="B3" s="11" t="s">
        <v>75</v>
      </c>
      <c r="C3" s="12" t="s">
        <v>76</v>
      </c>
      <c r="D3" s="11" t="s">
        <v>77</v>
      </c>
      <c r="E3" s="12" t="s">
        <v>78</v>
      </c>
      <c r="F3" s="11" t="s">
        <v>74</v>
      </c>
      <c r="G3" s="11"/>
      <c r="H3" s="13"/>
    </row>
    <row r="4" customFormat="false" ht="15" hidden="false" customHeight="false" outlineLevel="0" collapsed="false">
      <c r="A4" s="11" t="s">
        <v>79</v>
      </c>
      <c r="B4" s="11" t="s">
        <v>80</v>
      </c>
      <c r="C4" s="12" t="s">
        <v>81</v>
      </c>
      <c r="D4" s="11" t="s">
        <v>82</v>
      </c>
      <c r="E4" s="12" t="s">
        <v>83</v>
      </c>
      <c r="F4" s="11" t="s">
        <v>79</v>
      </c>
      <c r="G4" s="11"/>
      <c r="H4" s="13"/>
    </row>
    <row r="5" customFormat="false" ht="15" hidden="false" customHeight="false" outlineLevel="0" collapsed="false">
      <c r="A5" s="11" t="s">
        <v>84</v>
      </c>
      <c r="B5" s="11" t="s">
        <v>85</v>
      </c>
      <c r="C5" s="12" t="s">
        <v>86</v>
      </c>
      <c r="D5" s="11" t="s">
        <v>87</v>
      </c>
      <c r="E5" s="12" t="s">
        <v>88</v>
      </c>
      <c r="F5" s="11" t="s">
        <v>84</v>
      </c>
      <c r="G5" s="11"/>
      <c r="H5" s="13"/>
    </row>
    <row r="6" customFormat="false" ht="23.85" hidden="false" customHeight="false" outlineLevel="0" collapsed="false">
      <c r="A6" s="11" t="s">
        <v>49</v>
      </c>
      <c r="B6" s="11" t="s">
        <v>89</v>
      </c>
      <c r="C6" s="12" t="s">
        <v>90</v>
      </c>
      <c r="D6" s="11" t="s">
        <v>91</v>
      </c>
      <c r="E6" s="12" t="s">
        <v>92</v>
      </c>
      <c r="F6" s="11" t="s">
        <v>49</v>
      </c>
      <c r="G6" s="11"/>
      <c r="H6" s="13" t="s">
        <v>93</v>
      </c>
    </row>
    <row r="7" customFormat="false" ht="15" hidden="false" customHeight="false" outlineLevel="0" collapsed="false">
      <c r="A7" s="11" t="s">
        <v>94</v>
      </c>
      <c r="B7" s="11" t="s">
        <v>95</v>
      </c>
      <c r="C7" s="12" t="s">
        <v>96</v>
      </c>
      <c r="D7" s="11" t="s">
        <v>97</v>
      </c>
      <c r="E7" s="12" t="s">
        <v>98</v>
      </c>
      <c r="F7" s="11" t="s">
        <v>94</v>
      </c>
      <c r="G7" s="11"/>
      <c r="H7" s="13"/>
    </row>
    <row r="8" customFormat="false" ht="15" hidden="false" customHeight="false" outlineLevel="0" collapsed="false">
      <c r="A8" s="11" t="s">
        <v>99</v>
      </c>
      <c r="B8" s="11" t="s">
        <v>100</v>
      </c>
      <c r="C8" s="12" t="s">
        <v>101</v>
      </c>
      <c r="D8" s="11" t="s">
        <v>102</v>
      </c>
      <c r="E8" s="12" t="s">
        <v>103</v>
      </c>
      <c r="F8" s="11" t="s">
        <v>99</v>
      </c>
      <c r="G8" s="11"/>
      <c r="H8" s="13"/>
    </row>
    <row r="9" customFormat="false" ht="15" hidden="false" customHeight="false" outlineLevel="0" collapsed="false">
      <c r="A9" s="11"/>
      <c r="B9" s="11"/>
      <c r="C9" s="12"/>
      <c r="D9" s="11"/>
      <c r="E9" s="12"/>
      <c r="F9" s="11"/>
      <c r="G9" s="11"/>
      <c r="H9" s="13"/>
    </row>
    <row r="10" customFormat="false" ht="15" hidden="false" customHeight="false" outlineLevel="0" collapsed="false">
      <c r="A10" s="11"/>
      <c r="B10" s="11"/>
      <c r="C10" s="12"/>
      <c r="D10" s="11"/>
      <c r="E10" s="12"/>
      <c r="F10" s="11"/>
      <c r="G10" s="11"/>
      <c r="H10" s="13"/>
    </row>
    <row r="11" customFormat="false" ht="15" hidden="false" customHeight="false" outlineLevel="0" collapsed="false">
      <c r="A11" s="11"/>
      <c r="B11" s="11"/>
      <c r="C11" s="12"/>
      <c r="D11" s="11"/>
      <c r="E11" s="12"/>
      <c r="F11" s="11"/>
      <c r="G11" s="11"/>
      <c r="H11" s="13"/>
    </row>
    <row r="12" customFormat="false" ht="15" hidden="false" customHeight="false" outlineLevel="0" collapsed="false">
      <c r="A12" s="11"/>
      <c r="B12" s="11"/>
      <c r="C12" s="12"/>
      <c r="D12" s="11"/>
      <c r="E12" s="12"/>
      <c r="F12" s="11"/>
      <c r="G12" s="11"/>
      <c r="H12" s="13"/>
    </row>
    <row r="13" customFormat="false" ht="15" hidden="false" customHeight="false" outlineLevel="0" collapsed="false">
      <c r="A13" s="11"/>
      <c r="B13" s="11"/>
      <c r="C13" s="12"/>
      <c r="D13" s="11"/>
      <c r="E13" s="12"/>
      <c r="F13" s="11"/>
      <c r="G13" s="11"/>
      <c r="H13" s="13"/>
    </row>
    <row r="14" customFormat="false" ht="15" hidden="false" customHeight="false" outlineLevel="0" collapsed="false">
      <c r="A14" s="11"/>
      <c r="B14" s="11"/>
      <c r="C14" s="12"/>
      <c r="D14" s="11"/>
      <c r="E14" s="12"/>
      <c r="F14" s="11"/>
      <c r="G14" s="11"/>
      <c r="H14" s="13"/>
    </row>
    <row r="15" customFormat="false" ht="15" hidden="false" customHeight="false" outlineLevel="0" collapsed="false">
      <c r="A15" s="11"/>
      <c r="B15" s="11"/>
      <c r="C15" s="12"/>
      <c r="D15" s="11"/>
      <c r="E15" s="12"/>
      <c r="F15" s="11"/>
      <c r="G15" s="11"/>
      <c r="H15" s="13"/>
    </row>
    <row r="16" customFormat="false" ht="15" hidden="false" customHeight="false" outlineLevel="0" collapsed="false">
      <c r="A16" s="11"/>
      <c r="B16" s="11"/>
      <c r="C16" s="12"/>
      <c r="D16" s="11"/>
      <c r="E16" s="12"/>
      <c r="F16" s="11"/>
      <c r="G16" s="11"/>
      <c r="H16" s="13"/>
    </row>
    <row r="17" customFormat="false" ht="15" hidden="false" customHeight="false" outlineLevel="0" collapsed="false">
      <c r="A17" s="11"/>
      <c r="B17" s="11"/>
      <c r="C17" s="12"/>
      <c r="D17" s="11"/>
      <c r="E17" s="12"/>
      <c r="F17" s="11"/>
      <c r="G17" s="11"/>
      <c r="H17" s="13"/>
    </row>
    <row r="18" customFormat="false" ht="15" hidden="false" customHeight="false" outlineLevel="0" collapsed="false">
      <c r="A18" s="11"/>
      <c r="B18" s="11"/>
      <c r="C18" s="12"/>
      <c r="D18" s="11"/>
      <c r="E18" s="12"/>
      <c r="F18" s="11"/>
      <c r="G18" s="11"/>
      <c r="H18" s="13"/>
    </row>
    <row r="19" customFormat="false" ht="15" hidden="false" customHeight="false" outlineLevel="0" collapsed="false">
      <c r="A19" s="11"/>
      <c r="B19" s="11"/>
      <c r="C19" s="12"/>
      <c r="D19" s="11"/>
      <c r="E19" s="12"/>
      <c r="F19" s="11"/>
      <c r="G19" s="11"/>
      <c r="H19" s="13"/>
    </row>
    <row r="20" customFormat="false" ht="15" hidden="false" customHeight="false" outlineLevel="0" collapsed="false">
      <c r="A20" s="11"/>
      <c r="B20" s="11"/>
      <c r="C20" s="12"/>
      <c r="D20" s="11"/>
      <c r="E20" s="12"/>
      <c r="F20" s="11"/>
      <c r="G20" s="11"/>
      <c r="H20" s="13"/>
    </row>
    <row r="21" customFormat="false" ht="15" hidden="false" customHeight="false" outlineLevel="0" collapsed="false">
      <c r="A21" s="11"/>
      <c r="B21" s="11"/>
      <c r="C21" s="12"/>
      <c r="D21" s="11"/>
      <c r="E21" s="12"/>
      <c r="F21" s="11"/>
      <c r="G21" s="11"/>
      <c r="H21" s="13"/>
    </row>
    <row r="22" customFormat="false" ht="15" hidden="false" customHeight="false" outlineLevel="0" collapsed="false">
      <c r="A22" s="11"/>
      <c r="B22" s="11"/>
      <c r="C22" s="12"/>
      <c r="D22" s="11"/>
      <c r="E22" s="12"/>
      <c r="F22" s="11"/>
      <c r="G22" s="11"/>
      <c r="H22" s="13"/>
    </row>
    <row r="23" customFormat="false" ht="15" hidden="false" customHeight="false" outlineLevel="0" collapsed="false">
      <c r="A23" s="11"/>
      <c r="B23" s="11"/>
      <c r="C23" s="12"/>
      <c r="D23" s="11"/>
      <c r="E23" s="12"/>
      <c r="F23" s="11"/>
      <c r="G23" s="11"/>
      <c r="H23" s="13"/>
    </row>
    <row r="24" customFormat="false" ht="15" hidden="false" customHeight="false" outlineLevel="0" collapsed="false">
      <c r="A24" s="11"/>
      <c r="B24" s="11"/>
      <c r="C24" s="12"/>
      <c r="D24" s="11"/>
      <c r="E24" s="12"/>
      <c r="F24" s="11"/>
      <c r="G24" s="11"/>
      <c r="H24" s="13"/>
    </row>
    <row r="25" customFormat="false" ht="15" hidden="false" customHeight="false" outlineLevel="0" collapsed="false">
      <c r="A25" s="11"/>
      <c r="B25" s="11"/>
      <c r="C25" s="12"/>
      <c r="D25" s="11"/>
      <c r="E25" s="12"/>
      <c r="F25" s="11"/>
      <c r="G25" s="11"/>
      <c r="H25" s="13"/>
    </row>
    <row r="26" customFormat="false" ht="15" hidden="false" customHeight="false" outlineLevel="0" collapsed="false">
      <c r="A26" s="11"/>
      <c r="B26" s="11"/>
      <c r="C26" s="12"/>
      <c r="D26" s="11"/>
      <c r="E26" s="12"/>
      <c r="F26" s="11"/>
      <c r="G26" s="11"/>
      <c r="H26" s="13"/>
    </row>
    <row r="27" customFormat="false" ht="15" hidden="false" customHeight="false" outlineLevel="0" collapsed="false">
      <c r="A27" s="11"/>
      <c r="B27" s="11"/>
      <c r="C27" s="12"/>
      <c r="D27" s="11"/>
      <c r="E27" s="12"/>
      <c r="F27" s="11"/>
      <c r="G27" s="11"/>
      <c r="H27" s="13"/>
    </row>
    <row r="28" customFormat="false" ht="15" hidden="false" customHeight="false" outlineLevel="0" collapsed="false">
      <c r="A28" s="11"/>
      <c r="B28" s="11"/>
      <c r="C28" s="12"/>
      <c r="D28" s="11"/>
      <c r="E28" s="12"/>
      <c r="F28" s="11"/>
      <c r="G28" s="11"/>
      <c r="H28" s="13"/>
    </row>
    <row r="29" customFormat="false" ht="15" hidden="false" customHeight="false" outlineLevel="0" collapsed="false">
      <c r="A29" s="11"/>
      <c r="B29" s="11"/>
      <c r="C29" s="12"/>
      <c r="D29" s="11"/>
      <c r="E29" s="12"/>
      <c r="F29" s="11"/>
      <c r="G29" s="11"/>
      <c r="H29" s="13"/>
    </row>
    <row r="30" customFormat="false" ht="15" hidden="false" customHeight="false" outlineLevel="0" collapsed="false">
      <c r="A30" s="11"/>
      <c r="B30" s="11"/>
      <c r="C30" s="12"/>
      <c r="D30" s="11"/>
      <c r="E30" s="12"/>
      <c r="F30" s="11"/>
      <c r="G30" s="11"/>
      <c r="H30" s="13"/>
    </row>
    <row r="31" customFormat="false" ht="15" hidden="false" customHeight="false" outlineLevel="0" collapsed="false">
      <c r="A31" s="11"/>
      <c r="B31" s="11"/>
      <c r="C31" s="12"/>
      <c r="D31" s="11"/>
      <c r="E31" s="12"/>
      <c r="F31" s="11"/>
      <c r="G31" s="11"/>
      <c r="H31" s="13"/>
    </row>
    <row r="32" customFormat="false" ht="15" hidden="false" customHeight="false" outlineLevel="0" collapsed="false">
      <c r="A32" s="11"/>
      <c r="B32" s="11"/>
      <c r="C32" s="12"/>
      <c r="D32" s="11"/>
      <c r="E32" s="12"/>
      <c r="F32" s="11"/>
      <c r="G32" s="11"/>
      <c r="H32" s="13"/>
    </row>
    <row r="33" customFormat="false" ht="15" hidden="false" customHeight="false" outlineLevel="0" collapsed="false">
      <c r="A33" s="11"/>
      <c r="B33" s="11"/>
      <c r="C33" s="12"/>
      <c r="D33" s="11"/>
      <c r="E33" s="12"/>
      <c r="F33" s="11"/>
      <c r="G33" s="11"/>
      <c r="H33" s="13"/>
    </row>
    <row r="34" customFormat="false" ht="15" hidden="false" customHeight="false" outlineLevel="0" collapsed="false">
      <c r="A34" s="11"/>
      <c r="B34" s="11"/>
      <c r="C34" s="12"/>
      <c r="D34" s="11"/>
      <c r="E34" s="12"/>
      <c r="F34" s="11"/>
      <c r="G34" s="11"/>
      <c r="H34" s="13"/>
    </row>
    <row r="35" customFormat="false" ht="15" hidden="false" customHeight="false" outlineLevel="0" collapsed="false">
      <c r="A35" s="11"/>
      <c r="B35" s="11"/>
      <c r="C35" s="12"/>
      <c r="D35" s="11"/>
      <c r="E35" s="12"/>
      <c r="F35" s="11"/>
      <c r="G35" s="11"/>
      <c r="H35" s="13"/>
    </row>
    <row r="36" customFormat="false" ht="15" hidden="false" customHeight="false" outlineLevel="0" collapsed="false">
      <c r="A36" s="11"/>
      <c r="B36" s="11"/>
      <c r="C36" s="12"/>
      <c r="D36" s="11"/>
      <c r="E36" s="12"/>
      <c r="F36" s="11"/>
      <c r="G36" s="11"/>
      <c r="H36" s="13"/>
    </row>
    <row r="37" customFormat="false" ht="15" hidden="false" customHeight="false" outlineLevel="0" collapsed="false">
      <c r="A37" s="11"/>
      <c r="B37" s="11"/>
      <c r="C37" s="12"/>
      <c r="D37" s="11"/>
      <c r="E37" s="12"/>
      <c r="F37" s="11"/>
      <c r="G37" s="11"/>
      <c r="H37" s="13"/>
    </row>
    <row r="38" customFormat="false" ht="15" hidden="false" customHeight="false" outlineLevel="0" collapsed="false">
      <c r="A38" s="11"/>
      <c r="B38" s="11"/>
      <c r="C38" s="12"/>
      <c r="D38" s="11"/>
      <c r="E38" s="12"/>
      <c r="F38" s="11"/>
      <c r="G38" s="11"/>
      <c r="H38" s="13"/>
    </row>
    <row r="39" customFormat="false" ht="15" hidden="false" customHeight="false" outlineLevel="0" collapsed="false">
      <c r="A39" s="11"/>
      <c r="B39" s="11"/>
      <c r="C39" s="12"/>
      <c r="D39" s="11"/>
      <c r="E39" s="12"/>
      <c r="F39" s="11"/>
      <c r="G39" s="11"/>
      <c r="H39" s="13"/>
    </row>
    <row r="40" customFormat="false" ht="15" hidden="false" customHeight="false" outlineLevel="0" collapsed="false">
      <c r="A40" s="11"/>
      <c r="B40" s="11"/>
      <c r="C40" s="12"/>
      <c r="D40" s="11"/>
      <c r="E40" s="12"/>
      <c r="F40" s="11"/>
      <c r="G40" s="11"/>
      <c r="H40" s="13"/>
    </row>
    <row r="41" customFormat="false" ht="15" hidden="false" customHeight="false" outlineLevel="0" collapsed="false">
      <c r="A41" s="11"/>
      <c r="B41" s="11"/>
      <c r="C41" s="12"/>
      <c r="D41" s="11"/>
      <c r="E41" s="12"/>
      <c r="F41" s="11"/>
      <c r="G41" s="11"/>
      <c r="H41" s="13"/>
    </row>
    <row r="42" customFormat="false" ht="15" hidden="false" customHeight="false" outlineLevel="0" collapsed="false">
      <c r="A42" s="11"/>
      <c r="B42" s="11"/>
      <c r="C42" s="12"/>
      <c r="D42" s="11"/>
      <c r="E42" s="12"/>
      <c r="F42" s="11"/>
      <c r="G42" s="11"/>
      <c r="H42" s="13"/>
    </row>
    <row r="43" customFormat="false" ht="15" hidden="false" customHeight="false" outlineLevel="0" collapsed="false">
      <c r="A43" s="11"/>
      <c r="B43" s="11"/>
      <c r="C43" s="12"/>
      <c r="D43" s="11"/>
      <c r="E43" s="12"/>
      <c r="F43" s="11"/>
      <c r="G43" s="11"/>
      <c r="H43" s="13"/>
    </row>
    <row r="44" customFormat="false" ht="15" hidden="false" customHeight="false" outlineLevel="0" collapsed="false">
      <c r="A44" s="11"/>
      <c r="B44" s="11"/>
      <c r="C44" s="12"/>
      <c r="D44" s="11"/>
      <c r="E44" s="12"/>
      <c r="F44" s="11"/>
      <c r="G44" s="11"/>
      <c r="H44" s="13"/>
    </row>
    <row r="45" customFormat="false" ht="15" hidden="false" customHeight="false" outlineLevel="0" collapsed="false">
      <c r="A45" s="11"/>
      <c r="B45" s="11"/>
      <c r="C45" s="12"/>
      <c r="D45" s="11"/>
      <c r="E45" s="12"/>
      <c r="F45" s="11"/>
      <c r="G45" s="11"/>
      <c r="H45" s="13"/>
    </row>
    <row r="46" customFormat="false" ht="15" hidden="false" customHeight="false" outlineLevel="0" collapsed="false">
      <c r="A46" s="11"/>
      <c r="B46" s="11"/>
      <c r="C46" s="12"/>
      <c r="D46" s="11"/>
      <c r="E46" s="12"/>
      <c r="F46" s="11"/>
      <c r="G46" s="11"/>
      <c r="H46" s="13"/>
    </row>
    <row r="47" customFormat="false" ht="15" hidden="false" customHeight="false" outlineLevel="0" collapsed="false">
      <c r="A47" s="11"/>
      <c r="B47" s="11"/>
      <c r="C47" s="12"/>
      <c r="D47" s="11"/>
      <c r="E47" s="12"/>
      <c r="F47" s="11"/>
      <c r="G47" s="11"/>
      <c r="H47" s="13"/>
    </row>
    <row r="48" customFormat="false" ht="15" hidden="false" customHeight="false" outlineLevel="0" collapsed="false">
      <c r="A48" s="11"/>
      <c r="B48" s="11"/>
      <c r="C48" s="12"/>
      <c r="D48" s="11"/>
      <c r="E48" s="12"/>
      <c r="F48" s="11"/>
      <c r="G48" s="11"/>
      <c r="H48" s="13"/>
    </row>
    <row r="49" customFormat="false" ht="15" hidden="false" customHeight="false" outlineLevel="0" collapsed="false">
      <c r="A49" s="11"/>
      <c r="B49" s="11"/>
      <c r="C49" s="12"/>
      <c r="D49" s="11"/>
      <c r="E49" s="12"/>
      <c r="F49" s="11"/>
      <c r="G49" s="11"/>
      <c r="H49" s="13"/>
    </row>
    <row r="50" customFormat="false" ht="15" hidden="false" customHeight="false" outlineLevel="0" collapsed="false">
      <c r="A50" s="11"/>
      <c r="B50" s="11"/>
      <c r="C50" s="12"/>
      <c r="D50" s="11"/>
      <c r="E50" s="12"/>
      <c r="F50" s="11"/>
      <c r="G50" s="11"/>
      <c r="H50" s="13"/>
    </row>
    <row r="51" customFormat="false" ht="15" hidden="false" customHeight="false" outlineLevel="0" collapsed="false">
      <c r="A51" s="11"/>
      <c r="B51" s="11"/>
      <c r="C51" s="12"/>
      <c r="D51" s="11"/>
      <c r="E51" s="12"/>
      <c r="F51" s="11"/>
      <c r="G51" s="11"/>
      <c r="H51" s="13"/>
    </row>
    <row r="52" customFormat="false" ht="15" hidden="false" customHeight="false" outlineLevel="0" collapsed="false">
      <c r="A52" s="11"/>
      <c r="B52" s="11"/>
      <c r="C52" s="12"/>
      <c r="D52" s="11"/>
      <c r="E52" s="12"/>
      <c r="F52" s="11"/>
      <c r="G52" s="11"/>
      <c r="H52" s="13"/>
    </row>
    <row r="53" customFormat="false" ht="15" hidden="false" customHeight="false" outlineLevel="0" collapsed="false">
      <c r="A53" s="11"/>
      <c r="B53" s="11"/>
      <c r="C53" s="12"/>
      <c r="D53" s="11"/>
      <c r="E53" s="12"/>
      <c r="F53" s="11"/>
      <c r="G53" s="11"/>
      <c r="H53" s="13"/>
    </row>
    <row r="54" customFormat="false" ht="15" hidden="false" customHeight="false" outlineLevel="0" collapsed="false">
      <c r="A54" s="11"/>
      <c r="B54" s="11"/>
      <c r="C54" s="12"/>
      <c r="D54" s="11"/>
      <c r="E54" s="12"/>
      <c r="F54" s="11"/>
      <c r="G54" s="11"/>
      <c r="H54" s="13"/>
    </row>
    <row r="55" customFormat="false" ht="15" hidden="false" customHeight="false" outlineLevel="0" collapsed="false">
      <c r="A55" s="11"/>
      <c r="B55" s="11"/>
      <c r="C55" s="12"/>
      <c r="D55" s="11"/>
      <c r="E55" s="12"/>
      <c r="F55" s="11"/>
      <c r="G55" s="11"/>
      <c r="H55" s="13"/>
    </row>
    <row r="56" customFormat="false" ht="15" hidden="false" customHeight="false" outlineLevel="0" collapsed="false">
      <c r="A56" s="11"/>
      <c r="B56" s="11"/>
      <c r="C56" s="12"/>
      <c r="D56" s="11"/>
      <c r="E56" s="12"/>
      <c r="F56" s="11"/>
      <c r="G56" s="11"/>
      <c r="H56" s="13"/>
    </row>
    <row r="57" customFormat="false" ht="15" hidden="false" customHeight="false" outlineLevel="0" collapsed="false">
      <c r="A57" s="11"/>
      <c r="B57" s="11"/>
      <c r="C57" s="12"/>
      <c r="D57" s="11"/>
      <c r="E57" s="12"/>
      <c r="F57" s="11"/>
      <c r="G57" s="11"/>
      <c r="H57" s="13"/>
    </row>
    <row r="58" customFormat="false" ht="15" hidden="false" customHeight="false" outlineLevel="0" collapsed="false">
      <c r="A58" s="11"/>
      <c r="B58" s="11"/>
      <c r="C58" s="12"/>
      <c r="D58" s="11"/>
      <c r="E58" s="12"/>
      <c r="F58" s="11"/>
      <c r="G58" s="11"/>
      <c r="H58" s="13"/>
    </row>
    <row r="59" customFormat="false" ht="15" hidden="false" customHeight="false" outlineLevel="0" collapsed="false">
      <c r="A59" s="11"/>
      <c r="B59" s="11"/>
      <c r="C59" s="12"/>
      <c r="D59" s="11"/>
      <c r="E59" s="12"/>
      <c r="F59" s="11"/>
      <c r="G59" s="11"/>
      <c r="H59" s="13"/>
    </row>
    <row r="60" customFormat="false" ht="15" hidden="false" customHeight="false" outlineLevel="0" collapsed="false">
      <c r="A60" s="11"/>
      <c r="B60" s="11"/>
      <c r="C60" s="12"/>
      <c r="D60" s="11"/>
      <c r="E60" s="12"/>
      <c r="F60" s="11"/>
      <c r="G60" s="11"/>
      <c r="H60" s="13"/>
    </row>
  </sheetData>
  <dataValidations count="1">
    <dataValidation allowBlank="true" errorStyle="stop" operator="between" showDropDown="false" showErrorMessage="false" showInputMessage="false" sqref="F2:F60" type="list">
      <formula1>"digital,tl,ec,lead,research,assess,incl,cam,doc"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0"/>
    <col collapsed="false" customWidth="true" hidden="false" outlineLevel="0" max="7" min="4" style="0" width="22"/>
    <col collapsed="false" customWidth="true" hidden="false" outlineLevel="0" max="9" min="8" style="0" width="44"/>
    <col collapsed="false" customWidth="true" hidden="false" outlineLevel="0" max="11" min="10" style="0" width="30"/>
    <col collapsed="false" customWidth="true" hidden="false" outlineLevel="0" max="12" min="12" style="0" width="10"/>
    <col collapsed="false" customWidth="true" hidden="false" outlineLevel="0" max="14" min="13" style="0" width="16"/>
    <col collapsed="false" customWidth="true" hidden="false" outlineLevel="0" max="16" min="15" style="0" width="30"/>
    <col collapsed="false" customWidth="true" hidden="false" outlineLevel="0" max="17" min="17" style="0" width="34"/>
  </cols>
  <sheetData>
    <row r="1" customFormat="false" ht="33.75" hidden="false" customHeight="true" outlineLevel="0" collapsed="false">
      <c r="A1" s="8" t="s">
        <v>46</v>
      </c>
      <c r="B1" s="8" t="s">
        <v>41</v>
      </c>
      <c r="C1" s="9" t="s">
        <v>43</v>
      </c>
      <c r="D1" s="9" t="s">
        <v>104</v>
      </c>
      <c r="E1" s="9" t="s">
        <v>105</v>
      </c>
      <c r="F1" s="9" t="s">
        <v>106</v>
      </c>
      <c r="G1" s="9" t="s">
        <v>107</v>
      </c>
      <c r="H1" s="9" t="s">
        <v>108</v>
      </c>
      <c r="I1" s="9" t="s">
        <v>109</v>
      </c>
      <c r="J1" s="9" t="s">
        <v>110</v>
      </c>
      <c r="K1" s="9" t="s">
        <v>111</v>
      </c>
      <c r="L1" s="9" t="s">
        <v>112</v>
      </c>
      <c r="M1" s="9" t="s">
        <v>113</v>
      </c>
      <c r="N1" s="9" t="s">
        <v>114</v>
      </c>
      <c r="O1" s="9" t="s">
        <v>115</v>
      </c>
      <c r="P1" s="9" t="s">
        <v>116</v>
      </c>
      <c r="Q1" s="9" t="s">
        <v>32</v>
      </c>
    </row>
    <row r="2" customFormat="false" ht="23.85" hidden="false" customHeight="false" outlineLevel="0" collapsed="false">
      <c r="A2" s="14" t="n">
        <v>0</v>
      </c>
      <c r="B2" s="11" t="s">
        <v>117</v>
      </c>
      <c r="C2" s="12" t="s">
        <v>118</v>
      </c>
      <c r="D2" s="11" t="s">
        <v>119</v>
      </c>
      <c r="E2" s="12" t="s">
        <v>120</v>
      </c>
      <c r="F2" s="11" t="s">
        <v>121</v>
      </c>
      <c r="G2" s="12" t="s">
        <v>122</v>
      </c>
      <c r="H2" s="11" t="s">
        <v>123</v>
      </c>
      <c r="I2" s="12" t="s">
        <v>124</v>
      </c>
      <c r="J2" s="11" t="s">
        <v>125</v>
      </c>
      <c r="K2" s="12" t="s">
        <v>126</v>
      </c>
      <c r="L2" s="11"/>
      <c r="M2" s="11" t="s">
        <v>127</v>
      </c>
      <c r="N2" s="12" t="s">
        <v>128</v>
      </c>
      <c r="O2" s="11" t="s">
        <v>129</v>
      </c>
      <c r="P2" s="12" t="s">
        <v>130</v>
      </c>
      <c r="Q2" s="11"/>
    </row>
    <row r="3" customFormat="false" ht="23.85" hidden="false" customHeight="false" outlineLevel="0" collapsed="false">
      <c r="A3" s="14" t="n">
        <v>1</v>
      </c>
      <c r="B3" s="11" t="s">
        <v>131</v>
      </c>
      <c r="C3" s="12" t="s">
        <v>132</v>
      </c>
      <c r="D3" s="11" t="s">
        <v>133</v>
      </c>
      <c r="E3" s="12" t="s">
        <v>134</v>
      </c>
      <c r="F3" s="11" t="s">
        <v>135</v>
      </c>
      <c r="G3" s="12" t="s">
        <v>136</v>
      </c>
      <c r="H3" s="11" t="s">
        <v>137</v>
      </c>
      <c r="I3" s="12" t="s">
        <v>138</v>
      </c>
      <c r="J3" s="11" t="s">
        <v>139</v>
      </c>
      <c r="K3" s="12" t="s">
        <v>140</v>
      </c>
      <c r="L3" s="11" t="n">
        <v>2</v>
      </c>
      <c r="M3" s="11" t="s">
        <v>141</v>
      </c>
      <c r="N3" s="12" t="s">
        <v>142</v>
      </c>
      <c r="O3" s="11" t="s">
        <v>143</v>
      </c>
      <c r="P3" s="12" t="s">
        <v>144</v>
      </c>
      <c r="Q3" s="11" t="s">
        <v>145</v>
      </c>
    </row>
    <row r="4" customFormat="false" ht="23.85" hidden="false" customHeight="false" outlineLevel="0" collapsed="false">
      <c r="A4" s="14" t="n">
        <v>2</v>
      </c>
      <c r="B4" s="11" t="s">
        <v>146</v>
      </c>
      <c r="C4" s="12" t="s">
        <v>147</v>
      </c>
      <c r="D4" s="11" t="s">
        <v>148</v>
      </c>
      <c r="E4" s="12" t="s">
        <v>149</v>
      </c>
      <c r="F4" s="11" t="s">
        <v>150</v>
      </c>
      <c r="G4" s="12" t="s">
        <v>151</v>
      </c>
      <c r="H4" s="11" t="s">
        <v>152</v>
      </c>
      <c r="I4" s="12" t="s">
        <v>153</v>
      </c>
      <c r="J4" s="11" t="s">
        <v>154</v>
      </c>
      <c r="K4" s="12" t="s">
        <v>155</v>
      </c>
      <c r="L4" s="11" t="n">
        <v>3</v>
      </c>
      <c r="M4" s="11" t="s">
        <v>156</v>
      </c>
      <c r="N4" s="12" t="s">
        <v>157</v>
      </c>
      <c r="O4" s="11" t="s">
        <v>158</v>
      </c>
      <c r="P4" s="12" t="s">
        <v>159</v>
      </c>
      <c r="Q4" s="11" t="s">
        <v>160</v>
      </c>
    </row>
    <row r="5" customFormat="false" ht="23.85" hidden="false" customHeight="false" outlineLevel="0" collapsed="false">
      <c r="A5" s="14" t="n">
        <v>3</v>
      </c>
      <c r="B5" s="11" t="s">
        <v>161</v>
      </c>
      <c r="C5" s="12" t="s">
        <v>162</v>
      </c>
      <c r="D5" s="11" t="s">
        <v>163</v>
      </c>
      <c r="E5" s="12" t="s">
        <v>164</v>
      </c>
      <c r="F5" s="11" t="s">
        <v>165</v>
      </c>
      <c r="G5" s="12" t="s">
        <v>166</v>
      </c>
      <c r="H5" s="11" t="s">
        <v>167</v>
      </c>
      <c r="I5" s="12" t="s">
        <v>168</v>
      </c>
      <c r="J5" s="11" t="s">
        <v>169</v>
      </c>
      <c r="K5" s="12" t="s">
        <v>170</v>
      </c>
      <c r="L5" s="11" t="n">
        <v>3</v>
      </c>
      <c r="M5" s="11" t="s">
        <v>156</v>
      </c>
      <c r="N5" s="12" t="s">
        <v>157</v>
      </c>
      <c r="O5" s="11" t="s">
        <v>171</v>
      </c>
      <c r="P5" s="12" t="s">
        <v>172</v>
      </c>
      <c r="Q5" s="11" t="s">
        <v>173</v>
      </c>
    </row>
    <row r="6" customFormat="false" ht="23.85" hidden="false" customHeight="false" outlineLevel="0" collapsed="false">
      <c r="A6" s="14" t="n">
        <v>4</v>
      </c>
      <c r="B6" s="11" t="s">
        <v>174</v>
      </c>
      <c r="C6" s="12" t="s">
        <v>175</v>
      </c>
      <c r="D6" s="11" t="s">
        <v>176</v>
      </c>
      <c r="E6" s="12" t="s">
        <v>177</v>
      </c>
      <c r="F6" s="11" t="s">
        <v>178</v>
      </c>
      <c r="G6" s="12" t="s">
        <v>179</v>
      </c>
      <c r="H6" s="11" t="s">
        <v>180</v>
      </c>
      <c r="I6" s="12" t="s">
        <v>181</v>
      </c>
      <c r="J6" s="11" t="s">
        <v>182</v>
      </c>
      <c r="K6" s="12" t="s">
        <v>183</v>
      </c>
      <c r="L6" s="11" t="n">
        <v>2</v>
      </c>
      <c r="M6" s="11" t="s">
        <v>156</v>
      </c>
      <c r="N6" s="12" t="s">
        <v>157</v>
      </c>
      <c r="O6" s="11" t="s">
        <v>184</v>
      </c>
      <c r="P6" s="12" t="s">
        <v>185</v>
      </c>
      <c r="Q6" s="11" t="s">
        <v>186</v>
      </c>
    </row>
    <row r="7" customFormat="false" ht="23.85" hidden="false" customHeight="false" outlineLevel="0" collapsed="false">
      <c r="A7" s="14" t="n">
        <v>5</v>
      </c>
      <c r="B7" s="11" t="s">
        <v>187</v>
      </c>
      <c r="C7" s="12" t="s">
        <v>188</v>
      </c>
      <c r="D7" s="11" t="s">
        <v>189</v>
      </c>
      <c r="E7" s="12" t="s">
        <v>190</v>
      </c>
      <c r="F7" s="11" t="s">
        <v>191</v>
      </c>
      <c r="G7" s="12" t="s">
        <v>192</v>
      </c>
      <c r="H7" s="11" t="s">
        <v>193</v>
      </c>
      <c r="I7" s="12" t="s">
        <v>194</v>
      </c>
      <c r="J7" s="11" t="s">
        <v>195</v>
      </c>
      <c r="K7" s="12" t="s">
        <v>196</v>
      </c>
      <c r="L7" s="11"/>
      <c r="M7" s="11" t="s">
        <v>197</v>
      </c>
      <c r="N7" s="12" t="s">
        <v>198</v>
      </c>
      <c r="O7" s="11" t="s">
        <v>199</v>
      </c>
      <c r="P7" s="12" t="s">
        <v>200</v>
      </c>
      <c r="Q7" s="11" t="s">
        <v>201</v>
      </c>
    </row>
    <row r="8" customFormat="false" ht="15" hidden="false" customHeight="false" outlineLevel="0" collapsed="false">
      <c r="A8" s="11"/>
      <c r="B8" s="11"/>
      <c r="C8" s="12"/>
      <c r="D8" s="11"/>
      <c r="E8" s="12"/>
      <c r="F8" s="11"/>
      <c r="G8" s="12"/>
      <c r="H8" s="11"/>
      <c r="I8" s="12"/>
      <c r="J8" s="11"/>
      <c r="K8" s="12"/>
      <c r="L8" s="11"/>
      <c r="M8" s="11"/>
      <c r="N8" s="12"/>
      <c r="O8" s="11"/>
      <c r="P8" s="12"/>
      <c r="Q8" s="11"/>
    </row>
    <row r="9" customFormat="false" ht="15" hidden="false" customHeight="false" outlineLevel="0" collapsed="false">
      <c r="A9" s="11"/>
      <c r="B9" s="11"/>
      <c r="C9" s="12"/>
      <c r="D9" s="11"/>
      <c r="E9" s="12"/>
      <c r="F9" s="11"/>
      <c r="G9" s="12"/>
      <c r="H9" s="11"/>
      <c r="I9" s="12"/>
      <c r="J9" s="11"/>
      <c r="K9" s="12"/>
      <c r="L9" s="11"/>
      <c r="M9" s="11"/>
      <c r="N9" s="12"/>
      <c r="O9" s="11"/>
      <c r="P9" s="12"/>
      <c r="Q9" s="11"/>
    </row>
    <row r="10" customFormat="false" ht="15" hidden="false" customHeight="false" outlineLevel="0" collapsed="false">
      <c r="A10" s="11"/>
      <c r="B10" s="11"/>
      <c r="C10" s="12"/>
      <c r="D10" s="11"/>
      <c r="E10" s="12"/>
      <c r="F10" s="11"/>
      <c r="G10" s="12"/>
      <c r="H10" s="11"/>
      <c r="I10" s="12"/>
      <c r="J10" s="11"/>
      <c r="K10" s="12"/>
      <c r="L10" s="11"/>
      <c r="M10" s="11"/>
      <c r="N10" s="12"/>
      <c r="O10" s="11"/>
      <c r="P10" s="12"/>
      <c r="Q10" s="11"/>
    </row>
    <row r="11" customFormat="false" ht="15" hidden="false" customHeight="false" outlineLevel="0" collapsed="false">
      <c r="A11" s="11"/>
      <c r="B11" s="11"/>
      <c r="C11" s="12"/>
      <c r="D11" s="11"/>
      <c r="E11" s="12"/>
      <c r="F11" s="11"/>
      <c r="G11" s="12"/>
      <c r="H11" s="11"/>
      <c r="I11" s="12"/>
      <c r="J11" s="11"/>
      <c r="K11" s="12"/>
      <c r="L11" s="11"/>
      <c r="M11" s="11"/>
      <c r="N11" s="12"/>
      <c r="O11" s="11"/>
      <c r="P11" s="12"/>
      <c r="Q11" s="11"/>
    </row>
    <row r="12" customFormat="false" ht="15" hidden="false" customHeight="false" outlineLevel="0" collapsed="false">
      <c r="A12" s="11"/>
      <c r="B12" s="11"/>
      <c r="C12" s="12"/>
      <c r="D12" s="11"/>
      <c r="E12" s="12"/>
      <c r="F12" s="11"/>
      <c r="G12" s="12"/>
      <c r="H12" s="11"/>
      <c r="I12" s="12"/>
      <c r="J12" s="11"/>
      <c r="K12" s="12"/>
      <c r="L12" s="11"/>
      <c r="M12" s="11"/>
      <c r="N12" s="12"/>
      <c r="O12" s="11"/>
      <c r="P12" s="12"/>
      <c r="Q12" s="11"/>
    </row>
    <row r="13" customFormat="false" ht="15" hidden="false" customHeight="false" outlineLevel="0" collapsed="false">
      <c r="A13" s="11"/>
      <c r="B13" s="11"/>
      <c r="C13" s="12"/>
      <c r="D13" s="11"/>
      <c r="E13" s="12"/>
      <c r="F13" s="11"/>
      <c r="G13" s="12"/>
      <c r="H13" s="11"/>
      <c r="I13" s="12"/>
      <c r="J13" s="11"/>
      <c r="K13" s="12"/>
      <c r="L13" s="11"/>
      <c r="M13" s="11"/>
      <c r="N13" s="12"/>
      <c r="O13" s="11"/>
      <c r="P13" s="12"/>
      <c r="Q13" s="11"/>
    </row>
    <row r="14" customFormat="false" ht="15" hidden="false" customHeight="false" outlineLevel="0" collapsed="false">
      <c r="A14" s="11"/>
      <c r="B14" s="11"/>
      <c r="C14" s="12"/>
      <c r="D14" s="11"/>
      <c r="E14" s="12"/>
      <c r="F14" s="11"/>
      <c r="G14" s="12"/>
      <c r="H14" s="11"/>
      <c r="I14" s="12"/>
      <c r="J14" s="11"/>
      <c r="K14" s="12"/>
      <c r="L14" s="11"/>
      <c r="M14" s="11"/>
      <c r="N14" s="12"/>
      <c r="O14" s="11"/>
      <c r="P14" s="12"/>
      <c r="Q14" s="11"/>
    </row>
    <row r="15" customFormat="false" ht="15" hidden="false" customHeight="false" outlineLevel="0" collapsed="false">
      <c r="A15" s="11"/>
      <c r="B15" s="11"/>
      <c r="C15" s="12"/>
      <c r="D15" s="11"/>
      <c r="E15" s="12"/>
      <c r="F15" s="11"/>
      <c r="G15" s="12"/>
      <c r="H15" s="11"/>
      <c r="I15" s="12"/>
      <c r="J15" s="11"/>
      <c r="K15" s="12"/>
      <c r="L15" s="11"/>
      <c r="M15" s="11"/>
      <c r="N15" s="12"/>
      <c r="O15" s="11"/>
      <c r="P15" s="12"/>
      <c r="Q15" s="11"/>
    </row>
    <row r="16" customFormat="false" ht="15" hidden="false" customHeight="false" outlineLevel="0" collapsed="false">
      <c r="A16" s="11"/>
      <c r="B16" s="11"/>
      <c r="C16" s="12"/>
      <c r="D16" s="11"/>
      <c r="E16" s="12"/>
      <c r="F16" s="11"/>
      <c r="G16" s="12"/>
      <c r="H16" s="11"/>
      <c r="I16" s="12"/>
      <c r="J16" s="11"/>
      <c r="K16" s="12"/>
      <c r="L16" s="11"/>
      <c r="M16" s="11"/>
      <c r="N16" s="12"/>
      <c r="O16" s="11"/>
      <c r="P16" s="12"/>
      <c r="Q16" s="11"/>
    </row>
    <row r="17" customFormat="false" ht="15" hidden="false" customHeight="false" outlineLevel="0" collapsed="false">
      <c r="A17" s="11"/>
      <c r="B17" s="11"/>
      <c r="C17" s="12"/>
      <c r="D17" s="11"/>
      <c r="E17" s="12"/>
      <c r="F17" s="11"/>
      <c r="G17" s="12"/>
      <c r="H17" s="11"/>
      <c r="I17" s="12"/>
      <c r="J17" s="11"/>
      <c r="K17" s="12"/>
      <c r="L17" s="11"/>
      <c r="M17" s="11"/>
      <c r="N17" s="12"/>
      <c r="O17" s="11"/>
      <c r="P17" s="12"/>
      <c r="Q17" s="11"/>
    </row>
    <row r="18" customFormat="false" ht="15" hidden="false" customHeight="false" outlineLevel="0" collapsed="false">
      <c r="A18" s="11"/>
      <c r="B18" s="11"/>
      <c r="C18" s="12"/>
      <c r="D18" s="11"/>
      <c r="E18" s="12"/>
      <c r="F18" s="11"/>
      <c r="G18" s="12"/>
      <c r="H18" s="11"/>
      <c r="I18" s="12"/>
      <c r="J18" s="11"/>
      <c r="K18" s="12"/>
      <c r="L18" s="11"/>
      <c r="M18" s="11"/>
      <c r="N18" s="12"/>
      <c r="O18" s="11"/>
      <c r="P18" s="12"/>
      <c r="Q18" s="11"/>
    </row>
    <row r="19" customFormat="false" ht="15" hidden="false" customHeight="false" outlineLevel="0" collapsed="false">
      <c r="A19" s="11"/>
      <c r="B19" s="11"/>
      <c r="C19" s="12"/>
      <c r="D19" s="11"/>
      <c r="E19" s="12"/>
      <c r="F19" s="11"/>
      <c r="G19" s="12"/>
      <c r="H19" s="11"/>
      <c r="I19" s="12"/>
      <c r="J19" s="11"/>
      <c r="K19" s="12"/>
      <c r="L19" s="11"/>
      <c r="M19" s="11"/>
      <c r="N19" s="12"/>
      <c r="O19" s="11"/>
      <c r="P19" s="12"/>
      <c r="Q19" s="11"/>
    </row>
    <row r="20" customFormat="false" ht="15" hidden="false" customHeight="false" outlineLevel="0" collapsed="false">
      <c r="A20" s="11"/>
      <c r="B20" s="11"/>
      <c r="C20" s="12"/>
      <c r="D20" s="11"/>
      <c r="E20" s="12"/>
      <c r="F20" s="11"/>
      <c r="G20" s="12"/>
      <c r="H20" s="11"/>
      <c r="I20" s="12"/>
      <c r="J20" s="11"/>
      <c r="K20" s="12"/>
      <c r="L20" s="11"/>
      <c r="M20" s="11"/>
      <c r="N20" s="12"/>
      <c r="O20" s="11"/>
      <c r="P20" s="12"/>
      <c r="Q20" s="11"/>
    </row>
    <row r="21" customFormat="false" ht="15" hidden="false" customHeight="false" outlineLevel="0" collapsed="false">
      <c r="A21" s="11"/>
      <c r="B21" s="11"/>
      <c r="C21" s="12"/>
      <c r="D21" s="11"/>
      <c r="E21" s="12"/>
      <c r="F21" s="11"/>
      <c r="G21" s="12"/>
      <c r="H21" s="11"/>
      <c r="I21" s="12"/>
      <c r="J21" s="11"/>
      <c r="K21" s="12"/>
      <c r="L21" s="11"/>
      <c r="M21" s="11"/>
      <c r="N21" s="12"/>
      <c r="O21" s="11"/>
      <c r="P21" s="12"/>
      <c r="Q21" s="11"/>
    </row>
    <row r="22" customFormat="false" ht="15" hidden="false" customHeight="false" outlineLevel="0" collapsed="false">
      <c r="A22" s="11"/>
      <c r="B22" s="11"/>
      <c r="C22" s="12"/>
      <c r="D22" s="11"/>
      <c r="E22" s="12"/>
      <c r="F22" s="11"/>
      <c r="G22" s="12"/>
      <c r="H22" s="11"/>
      <c r="I22" s="12"/>
      <c r="J22" s="11"/>
      <c r="K22" s="12"/>
      <c r="L22" s="11"/>
      <c r="M22" s="11"/>
      <c r="N22" s="12"/>
      <c r="O22" s="11"/>
      <c r="P22" s="12"/>
      <c r="Q22" s="11"/>
    </row>
    <row r="23" customFormat="false" ht="15" hidden="false" customHeight="false" outlineLevel="0" collapsed="false">
      <c r="A23" s="11"/>
      <c r="B23" s="11"/>
      <c r="C23" s="12"/>
      <c r="D23" s="11"/>
      <c r="E23" s="12"/>
      <c r="F23" s="11"/>
      <c r="G23" s="12"/>
      <c r="H23" s="11"/>
      <c r="I23" s="12"/>
      <c r="J23" s="11"/>
      <c r="K23" s="12"/>
      <c r="L23" s="11"/>
      <c r="M23" s="11"/>
      <c r="N23" s="12"/>
      <c r="O23" s="11"/>
      <c r="P23" s="12"/>
      <c r="Q23" s="11"/>
    </row>
    <row r="24" customFormat="false" ht="15" hidden="false" customHeight="false" outlineLevel="0" collapsed="false">
      <c r="A24" s="11"/>
      <c r="B24" s="11"/>
      <c r="C24" s="12"/>
      <c r="D24" s="11"/>
      <c r="E24" s="12"/>
      <c r="F24" s="11"/>
      <c r="G24" s="12"/>
      <c r="H24" s="11"/>
      <c r="I24" s="12"/>
      <c r="J24" s="11"/>
      <c r="K24" s="12"/>
      <c r="L24" s="11"/>
      <c r="M24" s="11"/>
      <c r="N24" s="12"/>
      <c r="O24" s="11"/>
      <c r="P24" s="12"/>
      <c r="Q24" s="11"/>
    </row>
    <row r="25" customFormat="false" ht="15" hidden="false" customHeight="false" outlineLevel="0" collapsed="false">
      <c r="A25" s="11"/>
      <c r="B25" s="11"/>
      <c r="C25" s="12"/>
      <c r="D25" s="11"/>
      <c r="E25" s="12"/>
      <c r="F25" s="11"/>
      <c r="G25" s="12"/>
      <c r="H25" s="11"/>
      <c r="I25" s="12"/>
      <c r="J25" s="11"/>
      <c r="K25" s="12"/>
      <c r="L25" s="11"/>
      <c r="M25" s="11"/>
      <c r="N25" s="12"/>
      <c r="O25" s="11"/>
      <c r="P25" s="12"/>
      <c r="Q25" s="11"/>
    </row>
    <row r="26" customFormat="false" ht="15" hidden="false" customHeight="false" outlineLevel="0" collapsed="false">
      <c r="A26" s="11"/>
      <c r="B26" s="11"/>
      <c r="C26" s="12"/>
      <c r="D26" s="11"/>
      <c r="E26" s="12"/>
      <c r="F26" s="11"/>
      <c r="G26" s="12"/>
      <c r="H26" s="11"/>
      <c r="I26" s="12"/>
      <c r="J26" s="11"/>
      <c r="K26" s="12"/>
      <c r="L26" s="11"/>
      <c r="M26" s="11"/>
      <c r="N26" s="12"/>
      <c r="O26" s="11"/>
      <c r="P26" s="12"/>
      <c r="Q26" s="11"/>
    </row>
    <row r="27" customFormat="false" ht="15" hidden="false" customHeight="false" outlineLevel="0" collapsed="false">
      <c r="A27" s="11"/>
      <c r="B27" s="11"/>
      <c r="C27" s="12"/>
      <c r="D27" s="11"/>
      <c r="E27" s="12"/>
      <c r="F27" s="11"/>
      <c r="G27" s="12"/>
      <c r="H27" s="11"/>
      <c r="I27" s="12"/>
      <c r="J27" s="11"/>
      <c r="K27" s="12"/>
      <c r="L27" s="11"/>
      <c r="M27" s="11"/>
      <c r="N27" s="12"/>
      <c r="O27" s="11"/>
      <c r="P27" s="12"/>
      <c r="Q27" s="11"/>
    </row>
    <row r="28" customFormat="false" ht="15" hidden="false" customHeight="false" outlineLevel="0" collapsed="false">
      <c r="A28" s="11"/>
      <c r="B28" s="11"/>
      <c r="C28" s="12"/>
      <c r="D28" s="11"/>
      <c r="E28" s="12"/>
      <c r="F28" s="11"/>
      <c r="G28" s="12"/>
      <c r="H28" s="11"/>
      <c r="I28" s="12"/>
      <c r="J28" s="11"/>
      <c r="K28" s="12"/>
      <c r="L28" s="11"/>
      <c r="M28" s="11"/>
      <c r="N28" s="12"/>
      <c r="O28" s="11"/>
      <c r="P28" s="12"/>
      <c r="Q28" s="11"/>
    </row>
    <row r="29" customFormat="false" ht="15" hidden="false" customHeight="false" outlineLevel="0" collapsed="false">
      <c r="A29" s="11"/>
      <c r="B29" s="11"/>
      <c r="C29" s="12"/>
      <c r="D29" s="11"/>
      <c r="E29" s="12"/>
      <c r="F29" s="11"/>
      <c r="G29" s="12"/>
      <c r="H29" s="11"/>
      <c r="I29" s="12"/>
      <c r="J29" s="11"/>
      <c r="K29" s="12"/>
      <c r="L29" s="11"/>
      <c r="M29" s="11"/>
      <c r="N29" s="12"/>
      <c r="O29" s="11"/>
      <c r="P29" s="12"/>
      <c r="Q29" s="11"/>
    </row>
    <row r="30" customFormat="false" ht="15" hidden="false" customHeight="false" outlineLevel="0" collapsed="false">
      <c r="A30" s="11"/>
      <c r="B30" s="11"/>
      <c r="C30" s="12"/>
      <c r="D30" s="11"/>
      <c r="E30" s="12"/>
      <c r="F30" s="11"/>
      <c r="G30" s="12"/>
      <c r="H30" s="11"/>
      <c r="I30" s="12"/>
      <c r="J30" s="11"/>
      <c r="K30" s="12"/>
      <c r="L30" s="11"/>
      <c r="M30" s="11"/>
      <c r="N30" s="12"/>
      <c r="O30" s="11"/>
      <c r="P30" s="12"/>
      <c r="Q30" s="11"/>
    </row>
    <row r="31" customFormat="false" ht="15" hidden="false" customHeight="false" outlineLevel="0" collapsed="false">
      <c r="A31" s="11"/>
      <c r="B31" s="11"/>
      <c r="C31" s="12"/>
      <c r="D31" s="11"/>
      <c r="E31" s="12"/>
      <c r="F31" s="11"/>
      <c r="G31" s="12"/>
      <c r="H31" s="11"/>
      <c r="I31" s="12"/>
      <c r="J31" s="11"/>
      <c r="K31" s="12"/>
      <c r="L31" s="11"/>
      <c r="M31" s="11"/>
      <c r="N31" s="12"/>
      <c r="O31" s="11"/>
      <c r="P31" s="12"/>
      <c r="Q31" s="11"/>
    </row>
    <row r="32" customFormat="false" ht="15" hidden="false" customHeight="false" outlineLevel="0" collapsed="false">
      <c r="A32" s="11"/>
      <c r="B32" s="11"/>
      <c r="C32" s="12"/>
      <c r="D32" s="11"/>
      <c r="E32" s="12"/>
      <c r="F32" s="11"/>
      <c r="G32" s="12"/>
      <c r="H32" s="11"/>
      <c r="I32" s="12"/>
      <c r="J32" s="11"/>
      <c r="K32" s="12"/>
      <c r="L32" s="11"/>
      <c r="M32" s="11"/>
      <c r="N32" s="12"/>
      <c r="O32" s="11"/>
      <c r="P32" s="12"/>
      <c r="Q32" s="11"/>
    </row>
    <row r="33" customFormat="false" ht="15" hidden="false" customHeight="false" outlineLevel="0" collapsed="false">
      <c r="A33" s="11"/>
      <c r="B33" s="11"/>
      <c r="C33" s="12"/>
      <c r="D33" s="11"/>
      <c r="E33" s="12"/>
      <c r="F33" s="11"/>
      <c r="G33" s="12"/>
      <c r="H33" s="11"/>
      <c r="I33" s="12"/>
      <c r="J33" s="11"/>
      <c r="K33" s="12"/>
      <c r="L33" s="11"/>
      <c r="M33" s="11"/>
      <c r="N33" s="12"/>
      <c r="O33" s="11"/>
      <c r="P33" s="12"/>
      <c r="Q33" s="11"/>
    </row>
    <row r="34" customFormat="false" ht="15" hidden="false" customHeight="false" outlineLevel="0" collapsed="false">
      <c r="A34" s="11"/>
      <c r="B34" s="11"/>
      <c r="C34" s="12"/>
      <c r="D34" s="11"/>
      <c r="E34" s="12"/>
      <c r="F34" s="11"/>
      <c r="G34" s="12"/>
      <c r="H34" s="11"/>
      <c r="I34" s="12"/>
      <c r="J34" s="11"/>
      <c r="K34" s="12"/>
      <c r="L34" s="11"/>
      <c r="M34" s="11"/>
      <c r="N34" s="12"/>
      <c r="O34" s="11"/>
      <c r="P34" s="12"/>
      <c r="Q34" s="11"/>
    </row>
    <row r="35" customFormat="false" ht="15" hidden="false" customHeight="false" outlineLevel="0" collapsed="false">
      <c r="A35" s="11"/>
      <c r="B35" s="11"/>
      <c r="C35" s="12"/>
      <c r="D35" s="11"/>
      <c r="E35" s="12"/>
      <c r="F35" s="11"/>
      <c r="G35" s="12"/>
      <c r="H35" s="11"/>
      <c r="I35" s="12"/>
      <c r="J35" s="11"/>
      <c r="K35" s="12"/>
      <c r="L35" s="11"/>
      <c r="M35" s="11"/>
      <c r="N35" s="12"/>
      <c r="O35" s="11"/>
      <c r="P35" s="12"/>
      <c r="Q35" s="11"/>
    </row>
    <row r="36" customFormat="false" ht="15" hidden="false" customHeight="false" outlineLevel="0" collapsed="false">
      <c r="A36" s="11"/>
      <c r="B36" s="11"/>
      <c r="C36" s="12"/>
      <c r="D36" s="11"/>
      <c r="E36" s="12"/>
      <c r="F36" s="11"/>
      <c r="G36" s="12"/>
      <c r="H36" s="11"/>
      <c r="I36" s="12"/>
      <c r="J36" s="11"/>
      <c r="K36" s="12"/>
      <c r="L36" s="11"/>
      <c r="M36" s="11"/>
      <c r="N36" s="12"/>
      <c r="O36" s="11"/>
      <c r="P36" s="12"/>
      <c r="Q36" s="11"/>
    </row>
    <row r="37" customFormat="false" ht="15" hidden="false" customHeight="false" outlineLevel="0" collapsed="false">
      <c r="A37" s="11"/>
      <c r="B37" s="11"/>
      <c r="C37" s="12"/>
      <c r="D37" s="11"/>
      <c r="E37" s="12"/>
      <c r="F37" s="11"/>
      <c r="G37" s="12"/>
      <c r="H37" s="11"/>
      <c r="I37" s="12"/>
      <c r="J37" s="11"/>
      <c r="K37" s="12"/>
      <c r="L37" s="11"/>
      <c r="M37" s="11"/>
      <c r="N37" s="12"/>
      <c r="O37" s="11"/>
      <c r="P37" s="12"/>
      <c r="Q37" s="11"/>
    </row>
    <row r="38" customFormat="false" ht="15" hidden="false" customHeight="false" outlineLevel="0" collapsed="false">
      <c r="A38" s="11"/>
      <c r="B38" s="11"/>
      <c r="C38" s="12"/>
      <c r="D38" s="11"/>
      <c r="E38" s="12"/>
      <c r="F38" s="11"/>
      <c r="G38" s="12"/>
      <c r="H38" s="11"/>
      <c r="I38" s="12"/>
      <c r="J38" s="11"/>
      <c r="K38" s="12"/>
      <c r="L38" s="11"/>
      <c r="M38" s="11"/>
      <c r="N38" s="12"/>
      <c r="O38" s="11"/>
      <c r="P38" s="12"/>
      <c r="Q38" s="11"/>
    </row>
    <row r="39" customFormat="false" ht="15" hidden="false" customHeight="false" outlineLevel="0" collapsed="false">
      <c r="A39" s="11"/>
      <c r="B39" s="11"/>
      <c r="C39" s="12"/>
      <c r="D39" s="11"/>
      <c r="E39" s="12"/>
      <c r="F39" s="11"/>
      <c r="G39" s="12"/>
      <c r="H39" s="11"/>
      <c r="I39" s="12"/>
      <c r="J39" s="11"/>
      <c r="K39" s="12"/>
      <c r="L39" s="11"/>
      <c r="M39" s="11"/>
      <c r="N39" s="12"/>
      <c r="O39" s="11"/>
      <c r="P39" s="12"/>
      <c r="Q39" s="11"/>
    </row>
    <row r="40" customFormat="false" ht="15" hidden="false" customHeight="false" outlineLevel="0" collapsed="false">
      <c r="A40" s="11"/>
      <c r="B40" s="11"/>
      <c r="C40" s="12"/>
      <c r="D40" s="11"/>
      <c r="E40" s="12"/>
      <c r="F40" s="11"/>
      <c r="G40" s="12"/>
      <c r="H40" s="11"/>
      <c r="I40" s="12"/>
      <c r="J40" s="11"/>
      <c r="K40" s="12"/>
      <c r="L40" s="11"/>
      <c r="M40" s="11"/>
      <c r="N40" s="12"/>
      <c r="O40" s="11"/>
      <c r="P40" s="12"/>
      <c r="Q40" s="11"/>
    </row>
    <row r="41" customFormat="false" ht="15" hidden="false" customHeight="false" outlineLevel="0" collapsed="false">
      <c r="A41" s="11"/>
      <c r="B41" s="11"/>
      <c r="C41" s="12"/>
      <c r="D41" s="11"/>
      <c r="E41" s="12"/>
      <c r="F41" s="11"/>
      <c r="G41" s="12"/>
      <c r="H41" s="11"/>
      <c r="I41" s="12"/>
      <c r="J41" s="11"/>
      <c r="K41" s="12"/>
      <c r="L41" s="11"/>
      <c r="M41" s="11"/>
      <c r="N41" s="12"/>
      <c r="O41" s="11"/>
      <c r="P41" s="12"/>
      <c r="Q41" s="11"/>
    </row>
    <row r="42" customFormat="false" ht="15" hidden="false" customHeight="false" outlineLevel="0" collapsed="false">
      <c r="A42" s="11"/>
      <c r="B42" s="11"/>
      <c r="C42" s="12"/>
      <c r="D42" s="11"/>
      <c r="E42" s="12"/>
      <c r="F42" s="11"/>
      <c r="G42" s="12"/>
      <c r="H42" s="11"/>
      <c r="I42" s="12"/>
      <c r="J42" s="11"/>
      <c r="K42" s="12"/>
      <c r="L42" s="11"/>
      <c r="M42" s="11"/>
      <c r="N42" s="12"/>
      <c r="O42" s="11"/>
      <c r="P42" s="12"/>
      <c r="Q42" s="11"/>
    </row>
    <row r="43" customFormat="false" ht="15" hidden="false" customHeight="false" outlineLevel="0" collapsed="false">
      <c r="A43" s="11"/>
      <c r="B43" s="11"/>
      <c r="C43" s="12"/>
      <c r="D43" s="11"/>
      <c r="E43" s="12"/>
      <c r="F43" s="11"/>
      <c r="G43" s="12"/>
      <c r="H43" s="11"/>
      <c r="I43" s="12"/>
      <c r="J43" s="11"/>
      <c r="K43" s="12"/>
      <c r="L43" s="11"/>
      <c r="M43" s="11"/>
      <c r="N43" s="12"/>
      <c r="O43" s="11"/>
      <c r="P43" s="12"/>
      <c r="Q43" s="11"/>
    </row>
    <row r="44" customFormat="false" ht="15" hidden="false" customHeight="false" outlineLevel="0" collapsed="false">
      <c r="A44" s="11"/>
      <c r="B44" s="11"/>
      <c r="C44" s="12"/>
      <c r="D44" s="11"/>
      <c r="E44" s="12"/>
      <c r="F44" s="11"/>
      <c r="G44" s="12"/>
      <c r="H44" s="11"/>
      <c r="I44" s="12"/>
      <c r="J44" s="11"/>
      <c r="K44" s="12"/>
      <c r="L44" s="11"/>
      <c r="M44" s="11"/>
      <c r="N44" s="12"/>
      <c r="O44" s="11"/>
      <c r="P44" s="12"/>
      <c r="Q44" s="11"/>
    </row>
    <row r="45" customFormat="false" ht="15" hidden="false" customHeight="false" outlineLevel="0" collapsed="false">
      <c r="A45" s="11"/>
      <c r="B45" s="11"/>
      <c r="C45" s="12"/>
      <c r="D45" s="11"/>
      <c r="E45" s="12"/>
      <c r="F45" s="11"/>
      <c r="G45" s="12"/>
      <c r="H45" s="11"/>
      <c r="I45" s="12"/>
      <c r="J45" s="11"/>
      <c r="K45" s="12"/>
      <c r="L45" s="11"/>
      <c r="M45" s="11"/>
      <c r="N45" s="12"/>
      <c r="O45" s="11"/>
      <c r="P45" s="12"/>
      <c r="Q45" s="11"/>
    </row>
    <row r="46" customFormat="false" ht="15" hidden="false" customHeight="false" outlineLevel="0" collapsed="false">
      <c r="A46" s="11"/>
      <c r="B46" s="11"/>
      <c r="C46" s="12"/>
      <c r="D46" s="11"/>
      <c r="E46" s="12"/>
      <c r="F46" s="11"/>
      <c r="G46" s="12"/>
      <c r="H46" s="11"/>
      <c r="I46" s="12"/>
      <c r="J46" s="11"/>
      <c r="K46" s="12"/>
      <c r="L46" s="11"/>
      <c r="M46" s="11"/>
      <c r="N46" s="12"/>
      <c r="O46" s="11"/>
      <c r="P46" s="12"/>
      <c r="Q46" s="11"/>
    </row>
    <row r="47" customFormat="false" ht="15" hidden="false" customHeight="false" outlineLevel="0" collapsed="false">
      <c r="A47" s="11"/>
      <c r="B47" s="11"/>
      <c r="C47" s="12"/>
      <c r="D47" s="11"/>
      <c r="E47" s="12"/>
      <c r="F47" s="11"/>
      <c r="G47" s="12"/>
      <c r="H47" s="11"/>
      <c r="I47" s="12"/>
      <c r="J47" s="11"/>
      <c r="K47" s="12"/>
      <c r="L47" s="11"/>
      <c r="M47" s="11"/>
      <c r="N47" s="12"/>
      <c r="O47" s="11"/>
      <c r="P47" s="12"/>
      <c r="Q47" s="11"/>
    </row>
    <row r="48" customFormat="false" ht="15" hidden="false" customHeight="false" outlineLevel="0" collapsed="false">
      <c r="A48" s="11"/>
      <c r="B48" s="11"/>
      <c r="C48" s="12"/>
      <c r="D48" s="11"/>
      <c r="E48" s="12"/>
      <c r="F48" s="11"/>
      <c r="G48" s="12"/>
      <c r="H48" s="11"/>
      <c r="I48" s="12"/>
      <c r="J48" s="11"/>
      <c r="K48" s="12"/>
      <c r="L48" s="11"/>
      <c r="M48" s="11"/>
      <c r="N48" s="12"/>
      <c r="O48" s="11"/>
      <c r="P48" s="12"/>
      <c r="Q48" s="11"/>
    </row>
    <row r="49" customFormat="false" ht="15" hidden="false" customHeight="false" outlineLevel="0" collapsed="false">
      <c r="A49" s="11"/>
      <c r="B49" s="11"/>
      <c r="C49" s="12"/>
      <c r="D49" s="11"/>
      <c r="E49" s="12"/>
      <c r="F49" s="11"/>
      <c r="G49" s="12"/>
      <c r="H49" s="11"/>
      <c r="I49" s="12"/>
      <c r="J49" s="11"/>
      <c r="K49" s="12"/>
      <c r="L49" s="11"/>
      <c r="M49" s="11"/>
      <c r="N49" s="12"/>
      <c r="O49" s="11"/>
      <c r="P49" s="12"/>
      <c r="Q49" s="11"/>
    </row>
    <row r="50" customFormat="false" ht="15" hidden="false" customHeight="false" outlineLevel="0" collapsed="false">
      <c r="A50" s="11"/>
      <c r="B50" s="11"/>
      <c r="C50" s="12"/>
      <c r="D50" s="11"/>
      <c r="E50" s="12"/>
      <c r="F50" s="11"/>
      <c r="G50" s="12"/>
      <c r="H50" s="11"/>
      <c r="I50" s="12"/>
      <c r="J50" s="11"/>
      <c r="K50" s="12"/>
      <c r="L50" s="11"/>
      <c r="M50" s="11"/>
      <c r="N50" s="12"/>
      <c r="O50" s="11"/>
      <c r="P50" s="12"/>
      <c r="Q50" s="11"/>
    </row>
    <row r="51" customFormat="false" ht="15" hidden="false" customHeight="false" outlineLevel="0" collapsed="false">
      <c r="A51" s="11"/>
      <c r="B51" s="11"/>
      <c r="C51" s="12"/>
      <c r="D51" s="11"/>
      <c r="E51" s="12"/>
      <c r="F51" s="11"/>
      <c r="G51" s="12"/>
      <c r="H51" s="11"/>
      <c r="I51" s="12"/>
      <c r="J51" s="11"/>
      <c r="K51" s="12"/>
      <c r="L51" s="11"/>
      <c r="M51" s="11"/>
      <c r="N51" s="12"/>
      <c r="O51" s="11"/>
      <c r="P51" s="12"/>
      <c r="Q51" s="11"/>
    </row>
    <row r="52" customFormat="false" ht="15" hidden="false" customHeight="false" outlineLevel="0" collapsed="false">
      <c r="A52" s="11"/>
      <c r="B52" s="11"/>
      <c r="C52" s="12"/>
      <c r="D52" s="11"/>
      <c r="E52" s="12"/>
      <c r="F52" s="11"/>
      <c r="G52" s="12"/>
      <c r="H52" s="11"/>
      <c r="I52" s="12"/>
      <c r="J52" s="11"/>
      <c r="K52" s="12"/>
      <c r="L52" s="11"/>
      <c r="M52" s="11"/>
      <c r="N52" s="12"/>
      <c r="O52" s="11"/>
      <c r="P52" s="12"/>
      <c r="Q52" s="11"/>
    </row>
    <row r="53" customFormat="false" ht="15" hidden="false" customHeight="false" outlineLevel="0" collapsed="false">
      <c r="A53" s="11"/>
      <c r="B53" s="11"/>
      <c r="C53" s="12"/>
      <c r="D53" s="11"/>
      <c r="E53" s="12"/>
      <c r="F53" s="11"/>
      <c r="G53" s="12"/>
      <c r="H53" s="11"/>
      <c r="I53" s="12"/>
      <c r="J53" s="11"/>
      <c r="K53" s="12"/>
      <c r="L53" s="11"/>
      <c r="M53" s="11"/>
      <c r="N53" s="12"/>
      <c r="O53" s="11"/>
      <c r="P53" s="12"/>
      <c r="Q53" s="11"/>
    </row>
    <row r="54" customFormat="false" ht="15" hidden="false" customHeight="false" outlineLevel="0" collapsed="false">
      <c r="A54" s="11"/>
      <c r="B54" s="11"/>
      <c r="C54" s="12"/>
      <c r="D54" s="11"/>
      <c r="E54" s="12"/>
      <c r="F54" s="11"/>
      <c r="G54" s="12"/>
      <c r="H54" s="11"/>
      <c r="I54" s="12"/>
      <c r="J54" s="11"/>
      <c r="K54" s="12"/>
      <c r="L54" s="11"/>
      <c r="M54" s="11"/>
      <c r="N54" s="12"/>
      <c r="O54" s="11"/>
      <c r="P54" s="12"/>
      <c r="Q54" s="11"/>
    </row>
    <row r="55" customFormat="false" ht="15" hidden="false" customHeight="false" outlineLevel="0" collapsed="false">
      <c r="A55" s="11"/>
      <c r="B55" s="11"/>
      <c r="C55" s="12"/>
      <c r="D55" s="11"/>
      <c r="E55" s="12"/>
      <c r="F55" s="11"/>
      <c r="G55" s="12"/>
      <c r="H55" s="11"/>
      <c r="I55" s="12"/>
      <c r="J55" s="11"/>
      <c r="K55" s="12"/>
      <c r="L55" s="11"/>
      <c r="M55" s="11"/>
      <c r="N55" s="12"/>
      <c r="O55" s="11"/>
      <c r="P55" s="12"/>
      <c r="Q55" s="11"/>
    </row>
    <row r="56" customFormat="false" ht="15" hidden="false" customHeight="false" outlineLevel="0" collapsed="false">
      <c r="A56" s="11"/>
      <c r="B56" s="11"/>
      <c r="C56" s="12"/>
      <c r="D56" s="11"/>
      <c r="E56" s="12"/>
      <c r="F56" s="11"/>
      <c r="G56" s="12"/>
      <c r="H56" s="11"/>
      <c r="I56" s="12"/>
      <c r="J56" s="11"/>
      <c r="K56" s="12"/>
      <c r="L56" s="11"/>
      <c r="M56" s="11"/>
      <c r="N56" s="12"/>
      <c r="O56" s="11"/>
      <c r="P56" s="12"/>
      <c r="Q56" s="11"/>
    </row>
    <row r="57" customFormat="false" ht="15" hidden="false" customHeight="false" outlineLevel="0" collapsed="false">
      <c r="A57" s="11"/>
      <c r="B57" s="11"/>
      <c r="C57" s="12"/>
      <c r="D57" s="11"/>
      <c r="E57" s="12"/>
      <c r="F57" s="11"/>
      <c r="G57" s="12"/>
      <c r="H57" s="11"/>
      <c r="I57" s="12"/>
      <c r="J57" s="11"/>
      <c r="K57" s="12"/>
      <c r="L57" s="11"/>
      <c r="M57" s="11"/>
      <c r="N57" s="12"/>
      <c r="O57" s="11"/>
      <c r="P57" s="12"/>
      <c r="Q57" s="11"/>
    </row>
    <row r="58" customFormat="false" ht="15" hidden="false" customHeight="false" outlineLevel="0" collapsed="false">
      <c r="A58" s="11"/>
      <c r="B58" s="11"/>
      <c r="C58" s="12"/>
      <c r="D58" s="11"/>
      <c r="E58" s="12"/>
      <c r="F58" s="11"/>
      <c r="G58" s="12"/>
      <c r="H58" s="11"/>
      <c r="I58" s="12"/>
      <c r="J58" s="11"/>
      <c r="K58" s="12"/>
      <c r="L58" s="11"/>
      <c r="M58" s="11"/>
      <c r="N58" s="12"/>
      <c r="O58" s="11"/>
      <c r="P58" s="12"/>
      <c r="Q58" s="11"/>
    </row>
    <row r="59" customFormat="false" ht="15" hidden="false" customHeight="false" outlineLevel="0" collapsed="false">
      <c r="A59" s="11"/>
      <c r="B59" s="11"/>
      <c r="C59" s="12"/>
      <c r="D59" s="11"/>
      <c r="E59" s="12"/>
      <c r="F59" s="11"/>
      <c r="G59" s="12"/>
      <c r="H59" s="11"/>
      <c r="I59" s="12"/>
      <c r="J59" s="11"/>
      <c r="K59" s="12"/>
      <c r="L59" s="11"/>
      <c r="M59" s="11"/>
      <c r="N59" s="12"/>
      <c r="O59" s="11"/>
      <c r="P59" s="12"/>
      <c r="Q59" s="11"/>
    </row>
    <row r="60" customFormat="false" ht="15" hidden="false" customHeight="false" outlineLevel="0" collapsed="false">
      <c r="A60" s="11"/>
      <c r="B60" s="11"/>
      <c r="C60" s="12"/>
      <c r="D60" s="11"/>
      <c r="E60" s="12"/>
      <c r="F60" s="11"/>
      <c r="G60" s="12"/>
      <c r="H60" s="11"/>
      <c r="I60" s="12"/>
      <c r="J60" s="11"/>
      <c r="K60" s="12"/>
      <c r="L60" s="11"/>
      <c r="M60" s="11"/>
      <c r="N60" s="12"/>
      <c r="O60" s="11"/>
      <c r="P60" s="12"/>
      <c r="Q60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30"/>
    <col collapsed="false" customWidth="true" hidden="false" outlineLevel="0" max="5" min="4" style="0" width="18"/>
    <col collapsed="false" customWidth="true" hidden="false" outlineLevel="0" max="6" min="6" style="0" width="22"/>
    <col collapsed="false" customWidth="true" hidden="false" outlineLevel="0" max="7" min="7" style="0" width="7"/>
    <col collapsed="false" customWidth="true" hidden="false" outlineLevel="0" max="9" min="8" style="0" width="13"/>
    <col collapsed="false" customWidth="true" hidden="false" outlineLevel="0" max="11" min="10" style="0" width="46"/>
    <col collapsed="false" customWidth="true" hidden="false" outlineLevel="0" max="12" min="12" style="0" width="32"/>
    <col collapsed="false" customWidth="true" hidden="false" outlineLevel="0" max="13" min="13" style="0" width="13"/>
    <col collapsed="false" customWidth="true" hidden="false" outlineLevel="0" max="15" min="14" style="0" width="14"/>
    <col collapsed="false" customWidth="true" hidden="false" outlineLevel="0" max="17" min="16" style="0" width="36"/>
    <col collapsed="false" customWidth="true" hidden="false" outlineLevel="0" max="18" min="18" style="0" width="58"/>
  </cols>
  <sheetData>
    <row r="1" customFormat="false" ht="33.75" hidden="false" customHeight="true" outlineLevel="0" collapsed="false">
      <c r="A1" s="8" t="s">
        <v>39</v>
      </c>
      <c r="B1" s="8" t="s">
        <v>41</v>
      </c>
      <c r="C1" s="9" t="s">
        <v>43</v>
      </c>
      <c r="D1" s="9" t="s">
        <v>202</v>
      </c>
      <c r="E1" s="9" t="s">
        <v>203</v>
      </c>
      <c r="F1" s="8" t="s">
        <v>28</v>
      </c>
      <c r="G1" s="8" t="s">
        <v>46</v>
      </c>
      <c r="H1" s="9" t="s">
        <v>48</v>
      </c>
      <c r="I1" s="9" t="s">
        <v>50</v>
      </c>
      <c r="J1" s="9" t="s">
        <v>52</v>
      </c>
      <c r="K1" s="9" t="s">
        <v>65</v>
      </c>
      <c r="L1" s="9" t="s">
        <v>32</v>
      </c>
      <c r="M1" s="9" t="s">
        <v>55</v>
      </c>
      <c r="N1" s="9" t="s">
        <v>57</v>
      </c>
      <c r="O1" s="9" t="s">
        <v>59</v>
      </c>
      <c r="P1" s="9" t="s">
        <v>204</v>
      </c>
      <c r="Q1" s="9" t="s">
        <v>205</v>
      </c>
      <c r="R1" s="10" t="s">
        <v>61</v>
      </c>
    </row>
    <row r="2" customFormat="false" ht="35.05" hidden="false" customHeight="false" outlineLevel="0" collapsed="false">
      <c r="A2" s="11" t="s">
        <v>206</v>
      </c>
      <c r="B2" s="11" t="s">
        <v>117</v>
      </c>
      <c r="C2" s="12" t="s">
        <v>118</v>
      </c>
      <c r="D2" s="11"/>
      <c r="E2" s="12"/>
      <c r="F2" s="11" t="s">
        <v>117</v>
      </c>
      <c r="G2" s="11" t="n">
        <v>0</v>
      </c>
      <c r="H2" s="11"/>
      <c r="I2" s="11"/>
      <c r="J2" s="11" t="s">
        <v>207</v>
      </c>
      <c r="K2" s="12" t="s">
        <v>208</v>
      </c>
      <c r="L2" s="11"/>
      <c r="M2" s="11"/>
      <c r="N2" s="11"/>
      <c r="O2" s="11"/>
      <c r="P2" s="11"/>
      <c r="Q2" s="12"/>
      <c r="R2" s="13"/>
    </row>
    <row r="3" customFormat="false" ht="35.05" hidden="false" customHeight="false" outlineLevel="0" collapsed="false">
      <c r="A3" s="11" t="s">
        <v>209</v>
      </c>
      <c r="B3" s="11" t="s">
        <v>210</v>
      </c>
      <c r="C3" s="12" t="s">
        <v>211</v>
      </c>
      <c r="D3" s="11"/>
      <c r="E3" s="12"/>
      <c r="F3" s="11" t="s">
        <v>212</v>
      </c>
      <c r="G3" s="11" t="n">
        <v>1</v>
      </c>
      <c r="H3" s="11"/>
      <c r="I3" s="11"/>
      <c r="J3" s="11" t="s">
        <v>213</v>
      </c>
      <c r="K3" s="12" t="s">
        <v>214</v>
      </c>
      <c r="L3" s="11" t="s">
        <v>145</v>
      </c>
      <c r="M3" s="11"/>
      <c r="N3" s="11"/>
      <c r="O3" s="11"/>
      <c r="P3" s="11"/>
      <c r="Q3" s="12"/>
      <c r="R3" s="13"/>
    </row>
    <row r="4" customFormat="false" ht="23.85" hidden="false" customHeight="false" outlineLevel="0" collapsed="false">
      <c r="A4" s="11" t="s">
        <v>215</v>
      </c>
      <c r="B4" s="11" t="s">
        <v>216</v>
      </c>
      <c r="C4" s="12" t="s">
        <v>217</v>
      </c>
      <c r="D4" s="11"/>
      <c r="E4" s="12"/>
      <c r="F4" s="11" t="s">
        <v>218</v>
      </c>
      <c r="G4" s="11" t="n">
        <v>1</v>
      </c>
      <c r="H4" s="11"/>
      <c r="I4" s="11"/>
      <c r="J4" s="11" t="s">
        <v>219</v>
      </c>
      <c r="K4" s="12" t="s">
        <v>220</v>
      </c>
      <c r="L4" s="11"/>
      <c r="M4" s="11"/>
      <c r="N4" s="11"/>
      <c r="O4" s="11"/>
      <c r="P4" s="11"/>
      <c r="Q4" s="12"/>
      <c r="R4" s="13"/>
    </row>
    <row r="5" customFormat="false" ht="23.85" hidden="false" customHeight="false" outlineLevel="0" collapsed="false">
      <c r="A5" s="11" t="s">
        <v>221</v>
      </c>
      <c r="B5" s="11" t="s">
        <v>222</v>
      </c>
      <c r="C5" s="12" t="s">
        <v>223</v>
      </c>
      <c r="D5" s="11"/>
      <c r="E5" s="12"/>
      <c r="F5" s="11" t="s">
        <v>218</v>
      </c>
      <c r="G5" s="11" t="n">
        <v>1</v>
      </c>
      <c r="H5" s="11"/>
      <c r="I5" s="11"/>
      <c r="J5" s="11" t="s">
        <v>219</v>
      </c>
      <c r="K5" s="12" t="s">
        <v>220</v>
      </c>
      <c r="L5" s="11"/>
      <c r="M5" s="11"/>
      <c r="N5" s="11"/>
      <c r="O5" s="11"/>
      <c r="P5" s="11"/>
      <c r="Q5" s="12"/>
      <c r="R5" s="13"/>
    </row>
    <row r="6" customFormat="false" ht="23.85" hidden="false" customHeight="false" outlineLevel="0" collapsed="false">
      <c r="A6" s="11" t="s">
        <v>224</v>
      </c>
      <c r="B6" s="11" t="s">
        <v>225</v>
      </c>
      <c r="C6" s="12" t="s">
        <v>226</v>
      </c>
      <c r="D6" s="11"/>
      <c r="E6" s="12"/>
      <c r="F6" s="11" t="s">
        <v>45</v>
      </c>
      <c r="G6" s="11" t="n">
        <v>2</v>
      </c>
      <c r="H6" s="11" t="s">
        <v>69</v>
      </c>
      <c r="I6" s="11" t="s">
        <v>74</v>
      </c>
      <c r="J6" s="11" t="s">
        <v>227</v>
      </c>
      <c r="K6" s="12" t="s">
        <v>228</v>
      </c>
      <c r="L6" s="11" t="s">
        <v>229</v>
      </c>
      <c r="M6" s="11"/>
      <c r="N6" s="11"/>
      <c r="O6" s="11"/>
      <c r="P6" s="11"/>
      <c r="Q6" s="12"/>
      <c r="R6" s="13"/>
    </row>
    <row r="7" customFormat="false" ht="23.85" hidden="false" customHeight="false" outlineLevel="0" collapsed="false">
      <c r="A7" s="11" t="s">
        <v>230</v>
      </c>
      <c r="B7" s="11" t="s">
        <v>231</v>
      </c>
      <c r="C7" s="12" t="s">
        <v>232</v>
      </c>
      <c r="D7" s="11"/>
      <c r="E7" s="12"/>
      <c r="F7" s="11" t="s">
        <v>45</v>
      </c>
      <c r="G7" s="11" t="n">
        <v>2</v>
      </c>
      <c r="H7" s="11" t="s">
        <v>74</v>
      </c>
      <c r="I7" s="11" t="s">
        <v>79</v>
      </c>
      <c r="J7" s="11" t="s">
        <v>233</v>
      </c>
      <c r="K7" s="12" t="s">
        <v>234</v>
      </c>
      <c r="L7" s="11" t="s">
        <v>235</v>
      </c>
      <c r="M7" s="11"/>
      <c r="N7" s="11"/>
      <c r="O7" s="11"/>
      <c r="P7" s="11"/>
      <c r="Q7" s="12"/>
      <c r="R7" s="13"/>
    </row>
    <row r="8" customFormat="false" ht="35.05" hidden="false" customHeight="false" outlineLevel="0" collapsed="false">
      <c r="A8" s="11" t="s">
        <v>236</v>
      </c>
      <c r="B8" s="11" t="s">
        <v>237</v>
      </c>
      <c r="C8" s="12" t="s">
        <v>238</v>
      </c>
      <c r="D8" s="11"/>
      <c r="E8" s="12"/>
      <c r="F8" s="11" t="s">
        <v>239</v>
      </c>
      <c r="G8" s="11" t="n">
        <v>2</v>
      </c>
      <c r="H8" s="11" t="s">
        <v>79</v>
      </c>
      <c r="I8" s="11"/>
      <c r="J8" s="11" t="s">
        <v>240</v>
      </c>
      <c r="K8" s="12" t="s">
        <v>241</v>
      </c>
      <c r="L8" s="11" t="s">
        <v>242</v>
      </c>
      <c r="M8" s="11"/>
      <c r="N8" s="11"/>
      <c r="O8" s="11"/>
      <c r="P8" s="11"/>
      <c r="Q8" s="12"/>
      <c r="R8" s="13"/>
    </row>
    <row r="9" customFormat="false" ht="23.85" hidden="false" customHeight="false" outlineLevel="0" collapsed="false">
      <c r="A9" s="11" t="s">
        <v>243</v>
      </c>
      <c r="B9" s="11" t="s">
        <v>244</v>
      </c>
      <c r="C9" s="12" t="s">
        <v>245</v>
      </c>
      <c r="D9" s="11"/>
      <c r="E9" s="12"/>
      <c r="F9" s="11" t="s">
        <v>45</v>
      </c>
      <c r="G9" s="11" t="n">
        <v>2</v>
      </c>
      <c r="H9" s="11" t="s">
        <v>49</v>
      </c>
      <c r="I9" s="11"/>
      <c r="J9" s="11" t="s">
        <v>246</v>
      </c>
      <c r="K9" s="12" t="s">
        <v>247</v>
      </c>
      <c r="L9" s="11" t="s">
        <v>248</v>
      </c>
      <c r="M9" s="11"/>
      <c r="N9" s="11"/>
      <c r="O9" s="11"/>
      <c r="P9" s="11"/>
      <c r="Q9" s="12"/>
      <c r="R9" s="13"/>
    </row>
    <row r="10" customFormat="false" ht="23.85" hidden="false" customHeight="false" outlineLevel="0" collapsed="false">
      <c r="A10" s="11" t="s">
        <v>249</v>
      </c>
      <c r="B10" s="11" t="s">
        <v>250</v>
      </c>
      <c r="C10" s="12" t="s">
        <v>251</v>
      </c>
      <c r="D10" s="11"/>
      <c r="E10" s="12"/>
      <c r="F10" s="11" t="s">
        <v>45</v>
      </c>
      <c r="G10" s="11" t="n">
        <v>2</v>
      </c>
      <c r="H10" s="11" t="s">
        <v>49</v>
      </c>
      <c r="I10" s="11"/>
      <c r="J10" s="11" t="s">
        <v>246</v>
      </c>
      <c r="K10" s="12" t="s">
        <v>247</v>
      </c>
      <c r="L10" s="11" t="s">
        <v>252</v>
      </c>
      <c r="M10" s="11"/>
      <c r="N10" s="11"/>
      <c r="O10" s="11"/>
      <c r="P10" s="11"/>
      <c r="Q10" s="12"/>
      <c r="R10" s="13"/>
    </row>
    <row r="11" customFormat="false" ht="23.85" hidden="false" customHeight="false" outlineLevel="0" collapsed="false">
      <c r="A11" s="11" t="s">
        <v>253</v>
      </c>
      <c r="B11" s="11" t="s">
        <v>254</v>
      </c>
      <c r="C11" s="12" t="s">
        <v>255</v>
      </c>
      <c r="D11" s="11"/>
      <c r="E11" s="12"/>
      <c r="F11" s="11" t="s">
        <v>45</v>
      </c>
      <c r="G11" s="11" t="n">
        <v>2</v>
      </c>
      <c r="H11" s="11" t="s">
        <v>49</v>
      </c>
      <c r="I11" s="11" t="s">
        <v>94</v>
      </c>
      <c r="J11" s="11" t="s">
        <v>256</v>
      </c>
      <c r="K11" s="12" t="s">
        <v>257</v>
      </c>
      <c r="L11" s="11" t="s">
        <v>258</v>
      </c>
      <c r="M11" s="11"/>
      <c r="N11" s="11"/>
      <c r="O11" s="11"/>
      <c r="P11" s="11"/>
      <c r="Q11" s="12"/>
      <c r="R11" s="13"/>
    </row>
    <row r="12" customFormat="false" ht="23.85" hidden="false" customHeight="false" outlineLevel="0" collapsed="false">
      <c r="A12" s="11" t="s">
        <v>259</v>
      </c>
      <c r="B12" s="11" t="s">
        <v>260</v>
      </c>
      <c r="C12" s="12" t="s">
        <v>261</v>
      </c>
      <c r="D12" s="11"/>
      <c r="E12" s="12"/>
      <c r="F12" s="11" t="s">
        <v>45</v>
      </c>
      <c r="G12" s="11" t="n">
        <v>2</v>
      </c>
      <c r="H12" s="11" t="s">
        <v>94</v>
      </c>
      <c r="I12" s="11" t="s">
        <v>99</v>
      </c>
      <c r="J12" s="11" t="s">
        <v>262</v>
      </c>
      <c r="K12" s="12" t="s">
        <v>263</v>
      </c>
      <c r="L12" s="11" t="s">
        <v>264</v>
      </c>
      <c r="M12" s="11"/>
      <c r="N12" s="11"/>
      <c r="O12" s="11"/>
      <c r="P12" s="11"/>
      <c r="Q12" s="12"/>
      <c r="R12" s="13"/>
    </row>
    <row r="13" customFormat="false" ht="46.25" hidden="false" customHeight="false" outlineLevel="0" collapsed="false">
      <c r="A13" s="11" t="s">
        <v>265</v>
      </c>
      <c r="B13" s="11" t="s">
        <v>266</v>
      </c>
      <c r="C13" s="12" t="s">
        <v>267</v>
      </c>
      <c r="D13" s="11"/>
      <c r="E13" s="12"/>
      <c r="F13" s="11" t="s">
        <v>239</v>
      </c>
      <c r="G13" s="11" t="n">
        <v>3</v>
      </c>
      <c r="H13" s="11" t="s">
        <v>79</v>
      </c>
      <c r="I13" s="11" t="s">
        <v>84</v>
      </c>
      <c r="J13" s="11" t="s">
        <v>268</v>
      </c>
      <c r="K13" s="12" t="s">
        <v>269</v>
      </c>
      <c r="L13" s="11" t="s">
        <v>270</v>
      </c>
      <c r="M13" s="11"/>
      <c r="N13" s="11"/>
      <c r="O13" s="11"/>
      <c r="P13" s="11"/>
      <c r="Q13" s="12"/>
      <c r="R13" s="13"/>
    </row>
    <row r="14" customFormat="false" ht="35.05" hidden="false" customHeight="false" outlineLevel="0" collapsed="false">
      <c r="A14" s="11" t="s">
        <v>271</v>
      </c>
      <c r="B14" s="11" t="s">
        <v>272</v>
      </c>
      <c r="C14" s="12" t="s">
        <v>273</v>
      </c>
      <c r="D14" s="11"/>
      <c r="E14" s="12"/>
      <c r="F14" s="11" t="s">
        <v>45</v>
      </c>
      <c r="G14" s="11" t="n">
        <v>3</v>
      </c>
      <c r="H14" s="11" t="s">
        <v>84</v>
      </c>
      <c r="I14" s="11" t="s">
        <v>49</v>
      </c>
      <c r="J14" s="11" t="s">
        <v>274</v>
      </c>
      <c r="K14" s="12" t="s">
        <v>275</v>
      </c>
      <c r="L14" s="11" t="s">
        <v>276</v>
      </c>
      <c r="M14" s="11"/>
      <c r="N14" s="11"/>
      <c r="O14" s="11"/>
      <c r="P14" s="11"/>
      <c r="Q14" s="12"/>
      <c r="R14" s="13"/>
    </row>
    <row r="15" customFormat="false" ht="35.05" hidden="false" customHeight="false" outlineLevel="0" collapsed="false">
      <c r="A15" s="11" t="s">
        <v>277</v>
      </c>
      <c r="B15" s="11" t="s">
        <v>278</v>
      </c>
      <c r="C15" s="12" t="s">
        <v>279</v>
      </c>
      <c r="D15" s="11" t="s">
        <v>280</v>
      </c>
      <c r="E15" s="12" t="s">
        <v>281</v>
      </c>
      <c r="F15" s="11" t="s">
        <v>282</v>
      </c>
      <c r="G15" s="11" t="n">
        <v>4</v>
      </c>
      <c r="H15" s="11" t="s">
        <v>84</v>
      </c>
      <c r="I15" s="11"/>
      <c r="J15" s="11" t="s">
        <v>283</v>
      </c>
      <c r="K15" s="12" t="s">
        <v>284</v>
      </c>
      <c r="L15" s="11"/>
      <c r="M15" s="11"/>
      <c r="N15" s="11"/>
      <c r="O15" s="11"/>
      <c r="P15" s="11"/>
      <c r="Q15" s="12"/>
      <c r="R15" s="13"/>
    </row>
    <row r="16" customFormat="false" ht="35.05" hidden="false" customHeight="false" outlineLevel="0" collapsed="false">
      <c r="A16" s="11" t="s">
        <v>285</v>
      </c>
      <c r="B16" s="11" t="s">
        <v>195</v>
      </c>
      <c r="C16" s="12" t="s">
        <v>196</v>
      </c>
      <c r="D16" s="11"/>
      <c r="E16" s="12"/>
      <c r="F16" s="11" t="s">
        <v>286</v>
      </c>
      <c r="G16" s="11" t="n">
        <v>5</v>
      </c>
      <c r="H16" s="11"/>
      <c r="I16" s="11"/>
      <c r="J16" s="11" t="s">
        <v>287</v>
      </c>
      <c r="K16" s="12" t="s">
        <v>288</v>
      </c>
      <c r="L16" s="11" t="s">
        <v>201</v>
      </c>
      <c r="M16" s="11"/>
      <c r="N16" s="11"/>
      <c r="O16" s="11"/>
      <c r="P16" s="11"/>
      <c r="Q16" s="12"/>
      <c r="R16" s="13"/>
    </row>
    <row r="17" customFormat="false" ht="15" hidden="false" customHeight="false" outlineLevel="0" collapsed="false">
      <c r="A17" s="11"/>
      <c r="B17" s="11"/>
      <c r="C17" s="12"/>
      <c r="D17" s="11"/>
      <c r="E17" s="12"/>
      <c r="F17" s="11"/>
      <c r="G17" s="11"/>
      <c r="H17" s="11"/>
      <c r="I17" s="11"/>
      <c r="J17" s="11"/>
      <c r="K17" s="12"/>
      <c r="L17" s="11"/>
      <c r="M17" s="11"/>
      <c r="N17" s="11"/>
      <c r="O17" s="11"/>
      <c r="P17" s="11"/>
      <c r="Q17" s="12"/>
      <c r="R17" s="13"/>
    </row>
    <row r="18" customFormat="false" ht="15" hidden="false" customHeight="false" outlineLevel="0" collapsed="false">
      <c r="A18" s="11"/>
      <c r="B18" s="11"/>
      <c r="C18" s="12"/>
      <c r="D18" s="11"/>
      <c r="E18" s="12"/>
      <c r="F18" s="11"/>
      <c r="G18" s="11"/>
      <c r="H18" s="11"/>
      <c r="I18" s="11"/>
      <c r="J18" s="11"/>
      <c r="K18" s="12"/>
      <c r="L18" s="11"/>
      <c r="M18" s="11"/>
      <c r="N18" s="11"/>
      <c r="O18" s="11"/>
      <c r="P18" s="11"/>
      <c r="Q18" s="12"/>
      <c r="R18" s="13"/>
    </row>
    <row r="19" customFormat="false" ht="15" hidden="false" customHeight="false" outlineLevel="0" collapsed="false">
      <c r="A19" s="11"/>
      <c r="B19" s="11"/>
      <c r="C19" s="12"/>
      <c r="D19" s="11"/>
      <c r="E19" s="12"/>
      <c r="F19" s="11"/>
      <c r="G19" s="11"/>
      <c r="H19" s="11"/>
      <c r="I19" s="11"/>
      <c r="J19" s="11"/>
      <c r="K19" s="12"/>
      <c r="L19" s="11"/>
      <c r="M19" s="11"/>
      <c r="N19" s="11"/>
      <c r="O19" s="11"/>
      <c r="P19" s="11"/>
      <c r="Q19" s="12"/>
      <c r="R19" s="13"/>
    </row>
    <row r="20" customFormat="false" ht="15" hidden="false" customHeight="false" outlineLevel="0" collapsed="false">
      <c r="A20" s="11"/>
      <c r="B20" s="11"/>
      <c r="C20" s="12"/>
      <c r="D20" s="11"/>
      <c r="E20" s="12"/>
      <c r="F20" s="11"/>
      <c r="G20" s="11"/>
      <c r="H20" s="11"/>
      <c r="I20" s="11"/>
      <c r="J20" s="11"/>
      <c r="K20" s="12"/>
      <c r="L20" s="11"/>
      <c r="M20" s="11"/>
      <c r="N20" s="11"/>
      <c r="O20" s="11"/>
      <c r="P20" s="11"/>
      <c r="Q20" s="12"/>
      <c r="R20" s="13"/>
    </row>
    <row r="21" customFormat="false" ht="15" hidden="false" customHeight="false" outlineLevel="0" collapsed="false">
      <c r="A21" s="11"/>
      <c r="B21" s="11"/>
      <c r="C21" s="12"/>
      <c r="D21" s="11"/>
      <c r="E21" s="12"/>
      <c r="F21" s="11"/>
      <c r="G21" s="11"/>
      <c r="H21" s="11"/>
      <c r="I21" s="11"/>
      <c r="J21" s="11"/>
      <c r="K21" s="12"/>
      <c r="L21" s="11"/>
      <c r="M21" s="11"/>
      <c r="N21" s="11"/>
      <c r="O21" s="11"/>
      <c r="P21" s="11"/>
      <c r="Q21" s="12"/>
      <c r="R21" s="13"/>
    </row>
    <row r="22" customFormat="false" ht="15" hidden="false" customHeight="false" outlineLevel="0" collapsed="false">
      <c r="A22" s="11"/>
      <c r="B22" s="11"/>
      <c r="C22" s="12"/>
      <c r="D22" s="11"/>
      <c r="E22" s="12"/>
      <c r="F22" s="11"/>
      <c r="G22" s="11"/>
      <c r="H22" s="11"/>
      <c r="I22" s="11"/>
      <c r="J22" s="11"/>
      <c r="K22" s="12"/>
      <c r="L22" s="11"/>
      <c r="M22" s="11"/>
      <c r="N22" s="11"/>
      <c r="O22" s="11"/>
      <c r="P22" s="11"/>
      <c r="Q22" s="12"/>
      <c r="R22" s="13"/>
    </row>
    <row r="23" customFormat="false" ht="15" hidden="false" customHeight="false" outlineLevel="0" collapsed="false">
      <c r="A23" s="11"/>
      <c r="B23" s="11"/>
      <c r="C23" s="12"/>
      <c r="D23" s="11"/>
      <c r="E23" s="12"/>
      <c r="F23" s="11"/>
      <c r="G23" s="11"/>
      <c r="H23" s="11"/>
      <c r="I23" s="11"/>
      <c r="J23" s="11"/>
      <c r="K23" s="12"/>
      <c r="L23" s="11"/>
      <c r="M23" s="11"/>
      <c r="N23" s="11"/>
      <c r="O23" s="11"/>
      <c r="P23" s="11"/>
      <c r="Q23" s="12"/>
      <c r="R23" s="13"/>
    </row>
    <row r="24" customFormat="false" ht="15" hidden="false" customHeight="false" outlineLevel="0" collapsed="false">
      <c r="A24" s="11"/>
      <c r="B24" s="11"/>
      <c r="C24" s="12"/>
      <c r="D24" s="11"/>
      <c r="E24" s="12"/>
      <c r="F24" s="11"/>
      <c r="G24" s="11"/>
      <c r="H24" s="11"/>
      <c r="I24" s="11"/>
      <c r="J24" s="11"/>
      <c r="K24" s="12"/>
      <c r="L24" s="11"/>
      <c r="M24" s="11"/>
      <c r="N24" s="11"/>
      <c r="O24" s="11"/>
      <c r="P24" s="11"/>
      <c r="Q24" s="12"/>
      <c r="R24" s="13"/>
    </row>
    <row r="25" customFormat="false" ht="15" hidden="false" customHeight="false" outlineLevel="0" collapsed="false">
      <c r="A25" s="11"/>
      <c r="B25" s="11"/>
      <c r="C25" s="12"/>
      <c r="D25" s="11"/>
      <c r="E25" s="12"/>
      <c r="F25" s="11"/>
      <c r="G25" s="11"/>
      <c r="H25" s="11"/>
      <c r="I25" s="11"/>
      <c r="J25" s="11"/>
      <c r="K25" s="12"/>
      <c r="L25" s="11"/>
      <c r="M25" s="11"/>
      <c r="N25" s="11"/>
      <c r="O25" s="11"/>
      <c r="P25" s="11"/>
      <c r="Q25" s="12"/>
      <c r="R25" s="13"/>
    </row>
    <row r="26" customFormat="false" ht="15" hidden="false" customHeight="false" outlineLevel="0" collapsed="false">
      <c r="A26" s="11"/>
      <c r="B26" s="11"/>
      <c r="C26" s="12"/>
      <c r="D26" s="11"/>
      <c r="E26" s="12"/>
      <c r="F26" s="11"/>
      <c r="G26" s="11"/>
      <c r="H26" s="11"/>
      <c r="I26" s="11"/>
      <c r="J26" s="11"/>
      <c r="K26" s="12"/>
      <c r="L26" s="11"/>
      <c r="M26" s="11"/>
      <c r="N26" s="11"/>
      <c r="O26" s="11"/>
      <c r="P26" s="11"/>
      <c r="Q26" s="12"/>
      <c r="R26" s="13"/>
    </row>
    <row r="27" customFormat="false" ht="15" hidden="false" customHeight="false" outlineLevel="0" collapsed="false">
      <c r="A27" s="11"/>
      <c r="B27" s="11"/>
      <c r="C27" s="12"/>
      <c r="D27" s="11"/>
      <c r="E27" s="12"/>
      <c r="F27" s="11"/>
      <c r="G27" s="11"/>
      <c r="H27" s="11"/>
      <c r="I27" s="11"/>
      <c r="J27" s="11"/>
      <c r="K27" s="12"/>
      <c r="L27" s="11"/>
      <c r="M27" s="11"/>
      <c r="N27" s="11"/>
      <c r="O27" s="11"/>
      <c r="P27" s="11"/>
      <c r="Q27" s="12"/>
      <c r="R27" s="13"/>
    </row>
    <row r="28" customFormat="false" ht="15" hidden="false" customHeight="false" outlineLevel="0" collapsed="false">
      <c r="A28" s="11"/>
      <c r="B28" s="11"/>
      <c r="C28" s="12"/>
      <c r="D28" s="11"/>
      <c r="E28" s="12"/>
      <c r="F28" s="11"/>
      <c r="G28" s="11"/>
      <c r="H28" s="11"/>
      <c r="I28" s="11"/>
      <c r="J28" s="11"/>
      <c r="K28" s="12"/>
      <c r="L28" s="11"/>
      <c r="M28" s="11"/>
      <c r="N28" s="11"/>
      <c r="O28" s="11"/>
      <c r="P28" s="11"/>
      <c r="Q28" s="12"/>
      <c r="R28" s="13"/>
    </row>
    <row r="29" customFormat="false" ht="15" hidden="false" customHeight="false" outlineLevel="0" collapsed="false">
      <c r="A29" s="11"/>
      <c r="B29" s="11"/>
      <c r="C29" s="12"/>
      <c r="D29" s="11"/>
      <c r="E29" s="12"/>
      <c r="F29" s="11"/>
      <c r="G29" s="11"/>
      <c r="H29" s="11"/>
      <c r="I29" s="11"/>
      <c r="J29" s="11"/>
      <c r="K29" s="12"/>
      <c r="L29" s="11"/>
      <c r="M29" s="11"/>
      <c r="N29" s="11"/>
      <c r="O29" s="11"/>
      <c r="P29" s="11"/>
      <c r="Q29" s="12"/>
      <c r="R29" s="13"/>
    </row>
    <row r="30" customFormat="false" ht="15" hidden="false" customHeight="false" outlineLevel="0" collapsed="false">
      <c r="A30" s="11"/>
      <c r="B30" s="11"/>
      <c r="C30" s="12"/>
      <c r="D30" s="11"/>
      <c r="E30" s="12"/>
      <c r="F30" s="11"/>
      <c r="G30" s="11"/>
      <c r="H30" s="11"/>
      <c r="I30" s="11"/>
      <c r="J30" s="11"/>
      <c r="K30" s="12"/>
      <c r="L30" s="11"/>
      <c r="M30" s="11"/>
      <c r="N30" s="11"/>
      <c r="O30" s="11"/>
      <c r="P30" s="11"/>
      <c r="Q30" s="12"/>
      <c r="R30" s="13"/>
    </row>
    <row r="31" customFormat="false" ht="15" hidden="false" customHeight="false" outlineLevel="0" collapsed="false">
      <c r="A31" s="11"/>
      <c r="B31" s="11"/>
      <c r="C31" s="12"/>
      <c r="D31" s="11"/>
      <c r="E31" s="12"/>
      <c r="F31" s="11"/>
      <c r="G31" s="11"/>
      <c r="H31" s="11"/>
      <c r="I31" s="11"/>
      <c r="J31" s="11"/>
      <c r="K31" s="12"/>
      <c r="L31" s="11"/>
      <c r="M31" s="11"/>
      <c r="N31" s="11"/>
      <c r="O31" s="11"/>
      <c r="P31" s="11"/>
      <c r="Q31" s="12"/>
      <c r="R31" s="13"/>
    </row>
    <row r="32" customFormat="false" ht="15" hidden="false" customHeight="false" outlineLevel="0" collapsed="false">
      <c r="A32" s="11"/>
      <c r="B32" s="11"/>
      <c r="C32" s="12"/>
      <c r="D32" s="11"/>
      <c r="E32" s="12"/>
      <c r="F32" s="11"/>
      <c r="G32" s="11"/>
      <c r="H32" s="11"/>
      <c r="I32" s="11"/>
      <c r="J32" s="11"/>
      <c r="K32" s="12"/>
      <c r="L32" s="11"/>
      <c r="M32" s="11"/>
      <c r="N32" s="11"/>
      <c r="O32" s="11"/>
      <c r="P32" s="11"/>
      <c r="Q32" s="12"/>
      <c r="R32" s="13"/>
    </row>
    <row r="33" customFormat="false" ht="15" hidden="false" customHeight="false" outlineLevel="0" collapsed="false">
      <c r="A33" s="11"/>
      <c r="B33" s="11"/>
      <c r="C33" s="12"/>
      <c r="D33" s="11"/>
      <c r="E33" s="12"/>
      <c r="F33" s="11"/>
      <c r="G33" s="11"/>
      <c r="H33" s="11"/>
      <c r="I33" s="11"/>
      <c r="J33" s="11"/>
      <c r="K33" s="12"/>
      <c r="L33" s="11"/>
      <c r="M33" s="11"/>
      <c r="N33" s="11"/>
      <c r="O33" s="11"/>
      <c r="P33" s="11"/>
      <c r="Q33" s="12"/>
      <c r="R33" s="13"/>
    </row>
    <row r="34" customFormat="false" ht="15" hidden="false" customHeight="false" outlineLevel="0" collapsed="false">
      <c r="A34" s="11"/>
      <c r="B34" s="11"/>
      <c r="C34" s="12"/>
      <c r="D34" s="11"/>
      <c r="E34" s="12"/>
      <c r="F34" s="11"/>
      <c r="G34" s="11"/>
      <c r="H34" s="11"/>
      <c r="I34" s="11"/>
      <c r="J34" s="11"/>
      <c r="K34" s="12"/>
      <c r="L34" s="11"/>
      <c r="M34" s="11"/>
      <c r="N34" s="11"/>
      <c r="O34" s="11"/>
      <c r="P34" s="11"/>
      <c r="Q34" s="12"/>
      <c r="R34" s="13"/>
    </row>
    <row r="35" customFormat="false" ht="15" hidden="false" customHeight="false" outlineLevel="0" collapsed="false">
      <c r="A35" s="11"/>
      <c r="B35" s="11"/>
      <c r="C35" s="12"/>
      <c r="D35" s="11"/>
      <c r="E35" s="12"/>
      <c r="F35" s="11"/>
      <c r="G35" s="11"/>
      <c r="H35" s="11"/>
      <c r="I35" s="11"/>
      <c r="J35" s="11"/>
      <c r="K35" s="12"/>
      <c r="L35" s="11"/>
      <c r="M35" s="11"/>
      <c r="N35" s="11"/>
      <c r="O35" s="11"/>
      <c r="P35" s="11"/>
      <c r="Q35" s="12"/>
      <c r="R35" s="13"/>
    </row>
    <row r="36" customFormat="false" ht="15" hidden="false" customHeight="false" outlineLevel="0" collapsed="false">
      <c r="A36" s="11"/>
      <c r="B36" s="11"/>
      <c r="C36" s="12"/>
      <c r="D36" s="11"/>
      <c r="E36" s="12"/>
      <c r="F36" s="11"/>
      <c r="G36" s="11"/>
      <c r="H36" s="11"/>
      <c r="I36" s="11"/>
      <c r="J36" s="11"/>
      <c r="K36" s="12"/>
      <c r="L36" s="11"/>
      <c r="M36" s="11"/>
      <c r="N36" s="11"/>
      <c r="O36" s="11"/>
      <c r="P36" s="11"/>
      <c r="Q36" s="12"/>
      <c r="R36" s="13"/>
    </row>
    <row r="37" customFormat="false" ht="15" hidden="false" customHeight="false" outlineLevel="0" collapsed="false">
      <c r="A37" s="11"/>
      <c r="B37" s="11"/>
      <c r="C37" s="12"/>
      <c r="D37" s="11"/>
      <c r="E37" s="12"/>
      <c r="F37" s="11"/>
      <c r="G37" s="11"/>
      <c r="H37" s="11"/>
      <c r="I37" s="11"/>
      <c r="J37" s="11"/>
      <c r="K37" s="12"/>
      <c r="L37" s="11"/>
      <c r="M37" s="11"/>
      <c r="N37" s="11"/>
      <c r="O37" s="11"/>
      <c r="P37" s="11"/>
      <c r="Q37" s="12"/>
      <c r="R37" s="13"/>
    </row>
    <row r="38" customFormat="false" ht="15" hidden="false" customHeight="false" outlineLevel="0" collapsed="false">
      <c r="A38" s="11"/>
      <c r="B38" s="11"/>
      <c r="C38" s="12"/>
      <c r="D38" s="11"/>
      <c r="E38" s="12"/>
      <c r="F38" s="11"/>
      <c r="G38" s="11"/>
      <c r="H38" s="11"/>
      <c r="I38" s="11"/>
      <c r="J38" s="11"/>
      <c r="K38" s="12"/>
      <c r="L38" s="11"/>
      <c r="M38" s="11"/>
      <c r="N38" s="11"/>
      <c r="O38" s="11"/>
      <c r="P38" s="11"/>
      <c r="Q38" s="12"/>
      <c r="R38" s="13"/>
    </row>
    <row r="39" customFormat="false" ht="15" hidden="false" customHeight="false" outlineLevel="0" collapsed="false">
      <c r="A39" s="11"/>
      <c r="B39" s="11"/>
      <c r="C39" s="12"/>
      <c r="D39" s="11"/>
      <c r="E39" s="12"/>
      <c r="F39" s="11"/>
      <c r="G39" s="11"/>
      <c r="H39" s="11"/>
      <c r="I39" s="11"/>
      <c r="J39" s="11"/>
      <c r="K39" s="12"/>
      <c r="L39" s="11"/>
      <c r="M39" s="11"/>
      <c r="N39" s="11"/>
      <c r="O39" s="11"/>
      <c r="P39" s="11"/>
      <c r="Q39" s="12"/>
      <c r="R39" s="13"/>
    </row>
    <row r="40" customFormat="false" ht="15" hidden="false" customHeight="false" outlineLevel="0" collapsed="false">
      <c r="A40" s="11"/>
      <c r="B40" s="11"/>
      <c r="C40" s="12"/>
      <c r="D40" s="11"/>
      <c r="E40" s="12"/>
      <c r="F40" s="11"/>
      <c r="G40" s="11"/>
      <c r="H40" s="11"/>
      <c r="I40" s="11"/>
      <c r="J40" s="11"/>
      <c r="K40" s="12"/>
      <c r="L40" s="11"/>
      <c r="M40" s="11"/>
      <c r="N40" s="11"/>
      <c r="O40" s="11"/>
      <c r="P40" s="11"/>
      <c r="Q40" s="12"/>
      <c r="R40" s="13"/>
    </row>
    <row r="41" customFormat="false" ht="15" hidden="false" customHeight="false" outlineLevel="0" collapsed="false">
      <c r="A41" s="11"/>
      <c r="B41" s="11"/>
      <c r="C41" s="12"/>
      <c r="D41" s="11"/>
      <c r="E41" s="12"/>
      <c r="F41" s="11"/>
      <c r="G41" s="11"/>
      <c r="H41" s="11"/>
      <c r="I41" s="11"/>
      <c r="J41" s="11"/>
      <c r="K41" s="12"/>
      <c r="L41" s="11"/>
      <c r="M41" s="11"/>
      <c r="N41" s="11"/>
      <c r="O41" s="11"/>
      <c r="P41" s="11"/>
      <c r="Q41" s="12"/>
      <c r="R41" s="13"/>
    </row>
    <row r="42" customFormat="false" ht="15" hidden="false" customHeight="false" outlineLevel="0" collapsed="false">
      <c r="A42" s="11"/>
      <c r="B42" s="11"/>
      <c r="C42" s="12"/>
      <c r="D42" s="11"/>
      <c r="E42" s="12"/>
      <c r="F42" s="11"/>
      <c r="G42" s="11"/>
      <c r="H42" s="11"/>
      <c r="I42" s="11"/>
      <c r="J42" s="11"/>
      <c r="K42" s="12"/>
      <c r="L42" s="11"/>
      <c r="M42" s="11"/>
      <c r="N42" s="11"/>
      <c r="O42" s="11"/>
      <c r="P42" s="11"/>
      <c r="Q42" s="12"/>
      <c r="R42" s="13"/>
    </row>
    <row r="43" customFormat="false" ht="15" hidden="false" customHeight="false" outlineLevel="0" collapsed="false">
      <c r="A43" s="11"/>
      <c r="B43" s="11"/>
      <c r="C43" s="12"/>
      <c r="D43" s="11"/>
      <c r="E43" s="12"/>
      <c r="F43" s="11"/>
      <c r="G43" s="11"/>
      <c r="H43" s="11"/>
      <c r="I43" s="11"/>
      <c r="J43" s="11"/>
      <c r="K43" s="12"/>
      <c r="L43" s="11"/>
      <c r="M43" s="11"/>
      <c r="N43" s="11"/>
      <c r="O43" s="11"/>
      <c r="P43" s="11"/>
      <c r="Q43" s="12"/>
      <c r="R43" s="13"/>
    </row>
    <row r="44" customFormat="false" ht="15" hidden="false" customHeight="false" outlineLevel="0" collapsed="false">
      <c r="A44" s="11"/>
      <c r="B44" s="11"/>
      <c r="C44" s="12"/>
      <c r="D44" s="11"/>
      <c r="E44" s="12"/>
      <c r="F44" s="11"/>
      <c r="G44" s="11"/>
      <c r="H44" s="11"/>
      <c r="I44" s="11"/>
      <c r="J44" s="11"/>
      <c r="K44" s="12"/>
      <c r="L44" s="11"/>
      <c r="M44" s="11"/>
      <c r="N44" s="11"/>
      <c r="O44" s="11"/>
      <c r="P44" s="11"/>
      <c r="Q44" s="12"/>
      <c r="R44" s="13"/>
    </row>
    <row r="45" customFormat="false" ht="15" hidden="false" customHeight="false" outlineLevel="0" collapsed="false">
      <c r="A45" s="11"/>
      <c r="B45" s="11"/>
      <c r="C45" s="12"/>
      <c r="D45" s="11"/>
      <c r="E45" s="12"/>
      <c r="F45" s="11"/>
      <c r="G45" s="11"/>
      <c r="H45" s="11"/>
      <c r="I45" s="11"/>
      <c r="J45" s="11"/>
      <c r="K45" s="12"/>
      <c r="L45" s="11"/>
      <c r="M45" s="11"/>
      <c r="N45" s="11"/>
      <c r="O45" s="11"/>
      <c r="P45" s="11"/>
      <c r="Q45" s="12"/>
      <c r="R45" s="13"/>
    </row>
    <row r="46" customFormat="false" ht="15" hidden="false" customHeight="false" outlineLevel="0" collapsed="false">
      <c r="A46" s="11"/>
      <c r="B46" s="11"/>
      <c r="C46" s="12"/>
      <c r="D46" s="11"/>
      <c r="E46" s="12"/>
      <c r="F46" s="11"/>
      <c r="G46" s="11"/>
      <c r="H46" s="11"/>
      <c r="I46" s="11"/>
      <c r="J46" s="11"/>
      <c r="K46" s="12"/>
      <c r="L46" s="11"/>
      <c r="M46" s="11"/>
      <c r="N46" s="11"/>
      <c r="O46" s="11"/>
      <c r="P46" s="11"/>
      <c r="Q46" s="12"/>
      <c r="R46" s="13"/>
    </row>
    <row r="47" customFormat="false" ht="15" hidden="false" customHeight="false" outlineLevel="0" collapsed="false">
      <c r="A47" s="11"/>
      <c r="B47" s="11"/>
      <c r="C47" s="12"/>
      <c r="D47" s="11"/>
      <c r="E47" s="12"/>
      <c r="F47" s="11"/>
      <c r="G47" s="11"/>
      <c r="H47" s="11"/>
      <c r="I47" s="11"/>
      <c r="J47" s="11"/>
      <c r="K47" s="12"/>
      <c r="L47" s="11"/>
      <c r="M47" s="11"/>
      <c r="N47" s="11"/>
      <c r="O47" s="11"/>
      <c r="P47" s="11"/>
      <c r="Q47" s="12"/>
      <c r="R47" s="13"/>
    </row>
    <row r="48" customFormat="false" ht="15" hidden="false" customHeight="false" outlineLevel="0" collapsed="false">
      <c r="A48" s="11"/>
      <c r="B48" s="11"/>
      <c r="C48" s="12"/>
      <c r="D48" s="11"/>
      <c r="E48" s="12"/>
      <c r="F48" s="11"/>
      <c r="G48" s="11"/>
      <c r="H48" s="11"/>
      <c r="I48" s="11"/>
      <c r="J48" s="11"/>
      <c r="K48" s="12"/>
      <c r="L48" s="11"/>
      <c r="M48" s="11"/>
      <c r="N48" s="11"/>
      <c r="O48" s="11"/>
      <c r="P48" s="11"/>
      <c r="Q48" s="12"/>
      <c r="R48" s="13"/>
    </row>
    <row r="49" customFormat="false" ht="15" hidden="false" customHeight="false" outlineLevel="0" collapsed="false">
      <c r="A49" s="11"/>
      <c r="B49" s="11"/>
      <c r="C49" s="12"/>
      <c r="D49" s="11"/>
      <c r="E49" s="12"/>
      <c r="F49" s="11"/>
      <c r="G49" s="11"/>
      <c r="H49" s="11"/>
      <c r="I49" s="11"/>
      <c r="J49" s="11"/>
      <c r="K49" s="12"/>
      <c r="L49" s="11"/>
      <c r="M49" s="11"/>
      <c r="N49" s="11"/>
      <c r="O49" s="11"/>
      <c r="P49" s="11"/>
      <c r="Q49" s="12"/>
      <c r="R49" s="13"/>
    </row>
    <row r="50" customFormat="false" ht="15" hidden="false" customHeight="false" outlineLevel="0" collapsed="false">
      <c r="A50" s="11"/>
      <c r="B50" s="11"/>
      <c r="C50" s="12"/>
      <c r="D50" s="11"/>
      <c r="E50" s="12"/>
      <c r="F50" s="11"/>
      <c r="G50" s="11"/>
      <c r="H50" s="11"/>
      <c r="I50" s="11"/>
      <c r="J50" s="11"/>
      <c r="K50" s="12"/>
      <c r="L50" s="11"/>
      <c r="M50" s="11"/>
      <c r="N50" s="11"/>
      <c r="O50" s="11"/>
      <c r="P50" s="11"/>
      <c r="Q50" s="12"/>
      <c r="R50" s="13"/>
    </row>
    <row r="51" customFormat="false" ht="15" hidden="false" customHeight="false" outlineLevel="0" collapsed="false">
      <c r="A51" s="11"/>
      <c r="B51" s="11"/>
      <c r="C51" s="12"/>
      <c r="D51" s="11"/>
      <c r="E51" s="12"/>
      <c r="F51" s="11"/>
      <c r="G51" s="11"/>
      <c r="H51" s="11"/>
      <c r="I51" s="11"/>
      <c r="J51" s="11"/>
      <c r="K51" s="12"/>
      <c r="L51" s="11"/>
      <c r="M51" s="11"/>
      <c r="N51" s="11"/>
      <c r="O51" s="11"/>
      <c r="P51" s="11"/>
      <c r="Q51" s="12"/>
      <c r="R51" s="13"/>
    </row>
    <row r="52" customFormat="false" ht="15" hidden="false" customHeight="false" outlineLevel="0" collapsed="false">
      <c r="A52" s="11"/>
      <c r="B52" s="11"/>
      <c r="C52" s="12"/>
      <c r="D52" s="11"/>
      <c r="E52" s="12"/>
      <c r="F52" s="11"/>
      <c r="G52" s="11"/>
      <c r="H52" s="11"/>
      <c r="I52" s="11"/>
      <c r="J52" s="11"/>
      <c r="K52" s="12"/>
      <c r="L52" s="11"/>
      <c r="M52" s="11"/>
      <c r="N52" s="11"/>
      <c r="O52" s="11"/>
      <c r="P52" s="11"/>
      <c r="Q52" s="12"/>
      <c r="R52" s="13"/>
    </row>
    <row r="53" customFormat="false" ht="15" hidden="false" customHeight="false" outlineLevel="0" collapsed="false">
      <c r="A53" s="11"/>
      <c r="B53" s="11"/>
      <c r="C53" s="12"/>
      <c r="D53" s="11"/>
      <c r="E53" s="12"/>
      <c r="F53" s="11"/>
      <c r="G53" s="11"/>
      <c r="H53" s="11"/>
      <c r="I53" s="11"/>
      <c r="J53" s="11"/>
      <c r="K53" s="12"/>
      <c r="L53" s="11"/>
      <c r="M53" s="11"/>
      <c r="N53" s="11"/>
      <c r="O53" s="11"/>
      <c r="P53" s="11"/>
      <c r="Q53" s="12"/>
      <c r="R53" s="13"/>
    </row>
    <row r="54" customFormat="false" ht="15" hidden="false" customHeight="false" outlineLevel="0" collapsed="false">
      <c r="A54" s="11"/>
      <c r="B54" s="11"/>
      <c r="C54" s="12"/>
      <c r="D54" s="11"/>
      <c r="E54" s="12"/>
      <c r="F54" s="11"/>
      <c r="G54" s="11"/>
      <c r="H54" s="11"/>
      <c r="I54" s="11"/>
      <c r="J54" s="11"/>
      <c r="K54" s="12"/>
      <c r="L54" s="11"/>
      <c r="M54" s="11"/>
      <c r="N54" s="11"/>
      <c r="O54" s="11"/>
      <c r="P54" s="11"/>
      <c r="Q54" s="12"/>
      <c r="R54" s="13"/>
    </row>
    <row r="55" customFormat="false" ht="15" hidden="false" customHeight="false" outlineLevel="0" collapsed="false">
      <c r="A55" s="11"/>
      <c r="B55" s="11"/>
      <c r="C55" s="12"/>
      <c r="D55" s="11"/>
      <c r="E55" s="12"/>
      <c r="F55" s="11"/>
      <c r="G55" s="11"/>
      <c r="H55" s="11"/>
      <c r="I55" s="11"/>
      <c r="J55" s="11"/>
      <c r="K55" s="12"/>
      <c r="L55" s="11"/>
      <c r="M55" s="11"/>
      <c r="N55" s="11"/>
      <c r="O55" s="11"/>
      <c r="P55" s="11"/>
      <c r="Q55" s="12"/>
      <c r="R55" s="13"/>
    </row>
    <row r="56" customFormat="false" ht="15" hidden="false" customHeight="false" outlineLevel="0" collapsed="false">
      <c r="A56" s="11"/>
      <c r="B56" s="11"/>
      <c r="C56" s="12"/>
      <c r="D56" s="11"/>
      <c r="E56" s="12"/>
      <c r="F56" s="11"/>
      <c r="G56" s="11"/>
      <c r="H56" s="11"/>
      <c r="I56" s="11"/>
      <c r="J56" s="11"/>
      <c r="K56" s="12"/>
      <c r="L56" s="11"/>
      <c r="M56" s="11"/>
      <c r="N56" s="11"/>
      <c r="O56" s="11"/>
      <c r="P56" s="11"/>
      <c r="Q56" s="12"/>
      <c r="R56" s="13"/>
    </row>
    <row r="57" customFormat="false" ht="15" hidden="false" customHeight="false" outlineLevel="0" collapsed="false">
      <c r="A57" s="11"/>
      <c r="B57" s="11"/>
      <c r="C57" s="12"/>
      <c r="D57" s="11"/>
      <c r="E57" s="12"/>
      <c r="F57" s="11"/>
      <c r="G57" s="11"/>
      <c r="H57" s="11"/>
      <c r="I57" s="11"/>
      <c r="J57" s="11"/>
      <c r="K57" s="12"/>
      <c r="L57" s="11"/>
      <c r="M57" s="11"/>
      <c r="N57" s="11"/>
      <c r="O57" s="11"/>
      <c r="P57" s="11"/>
      <c r="Q57" s="12"/>
      <c r="R57" s="13"/>
    </row>
    <row r="58" customFormat="false" ht="15" hidden="false" customHeight="false" outlineLevel="0" collapsed="false">
      <c r="A58" s="11"/>
      <c r="B58" s="11"/>
      <c r="C58" s="12"/>
      <c r="D58" s="11"/>
      <c r="E58" s="12"/>
      <c r="F58" s="11"/>
      <c r="G58" s="11"/>
      <c r="H58" s="11"/>
      <c r="I58" s="11"/>
      <c r="J58" s="11"/>
      <c r="K58" s="12"/>
      <c r="L58" s="11"/>
      <c r="M58" s="11"/>
      <c r="N58" s="11"/>
      <c r="O58" s="11"/>
      <c r="P58" s="11"/>
      <c r="Q58" s="12"/>
      <c r="R58" s="13"/>
    </row>
    <row r="59" customFormat="false" ht="15" hidden="false" customHeight="false" outlineLevel="0" collapsed="false">
      <c r="A59" s="11"/>
      <c r="B59" s="11"/>
      <c r="C59" s="12"/>
      <c r="D59" s="11"/>
      <c r="E59" s="12"/>
      <c r="F59" s="11"/>
      <c r="G59" s="11"/>
      <c r="H59" s="11"/>
      <c r="I59" s="11"/>
      <c r="J59" s="11"/>
      <c r="K59" s="12"/>
      <c r="L59" s="11"/>
      <c r="M59" s="11"/>
      <c r="N59" s="11"/>
      <c r="O59" s="11"/>
      <c r="P59" s="11"/>
      <c r="Q59" s="12"/>
      <c r="R59" s="13"/>
    </row>
    <row r="60" customFormat="false" ht="15" hidden="false" customHeight="false" outlineLevel="0" collapsed="false">
      <c r="A60" s="11"/>
      <c r="B60" s="11"/>
      <c r="C60" s="12"/>
      <c r="D60" s="11"/>
      <c r="E60" s="12"/>
      <c r="F60" s="11"/>
      <c r="G60" s="11"/>
      <c r="H60" s="11"/>
      <c r="I60" s="11"/>
      <c r="J60" s="11"/>
      <c r="K60" s="12"/>
      <c r="L60" s="11"/>
      <c r="M60" s="11"/>
      <c r="N60" s="11"/>
      <c r="O60" s="11"/>
      <c r="P60" s="11"/>
      <c r="Q60" s="12"/>
      <c r="R60" s="13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3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3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3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3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3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3"/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3"/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3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3"/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3"/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3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3"/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3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3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3"/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3"/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3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3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3"/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3"/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3"/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3"/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3"/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3"/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3"/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3"/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3"/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3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3"/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3"/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3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3"/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3"/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3"/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3"/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3"/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3"/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3"/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3"/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3"/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3"/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3"/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3"/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3"/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3"/>
    </row>
    <row r="106" customFormat="false" ht="15" hidden="false" customHeight="fals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3"/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3"/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3"/>
    </row>
    <row r="109" customFormat="false" ht="15" hidden="false" customHeight="false" outlineLevel="0" collapsed="false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3"/>
    </row>
    <row r="110" customFormat="false" ht="15" hidden="false" customHeight="false" outlineLevel="0" collapsed="false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3"/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3"/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3"/>
    </row>
    <row r="113" customFormat="false" ht="15" hidden="false" customHeight="false" outlineLevel="0" collapsed="false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3"/>
    </row>
    <row r="114" customFormat="false" ht="15" hidden="false" customHeight="false" outlineLevel="0" collapsed="false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3"/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3"/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3"/>
    </row>
    <row r="117" customFormat="false" ht="15" hidden="false" customHeight="false" outlineLevel="0" collapsed="false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3"/>
    </row>
    <row r="118" customFormat="false" ht="15" hidden="false" customHeight="false" outlineLevel="0" collapsed="false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3"/>
    </row>
    <row r="119" customFormat="false" ht="15" hidden="false" customHeight="false" outlineLevel="0" collapsed="false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3"/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3"/>
    </row>
    <row r="121" customFormat="false" ht="15" hidden="false" customHeight="false" outlineLevel="0" collapsed="false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3"/>
    </row>
    <row r="122" customFormat="false" ht="15" hidden="false" customHeight="false" outlineLevel="0" collapsed="false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3"/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3"/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3"/>
    </row>
    <row r="125" customFormat="false" ht="15" hidden="false" customHeight="false" outlineLevel="0" collapsed="false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3"/>
    </row>
    <row r="126" customFormat="false" ht="15" hidden="false" customHeight="false" outlineLevel="0" collapsed="false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3"/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3"/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3"/>
    </row>
    <row r="129" customFormat="false" ht="15" hidden="false" customHeight="false" outlineLevel="0" collapsed="false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3"/>
    </row>
    <row r="130" customFormat="false" ht="15" hidden="false" customHeight="false" outlineLevel="0" collapsed="false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3"/>
    </row>
    <row r="131" customFormat="false" ht="15" hidden="false" customHeight="false" outlineLevel="0" collapsed="false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3"/>
    </row>
    <row r="132" customFormat="false" ht="15" hidden="false" customHeight="false" outlineLevel="0" collapsed="false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3"/>
    </row>
    <row r="133" customFormat="false" ht="15" hidden="false" customHeight="false" outlineLevel="0" collapsed="false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3"/>
    </row>
    <row r="134" customFormat="false" ht="15" hidden="false" customHeight="false" outlineLevel="0" collapsed="false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3"/>
    </row>
    <row r="135" customFormat="false" ht="15" hidden="false" customHeight="false" outlineLevel="0" collapsed="false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3"/>
    </row>
    <row r="136" customFormat="false" ht="15" hidden="false" customHeight="false" outlineLevel="0" collapsed="false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3"/>
    </row>
    <row r="137" customFormat="false" ht="15" hidden="false" customHeight="false" outlineLevel="0" collapsed="false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3"/>
    </row>
    <row r="138" customFormat="false" ht="15" hidden="false" customHeight="false" outlineLevel="0" collapsed="false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3"/>
    </row>
    <row r="139" customFormat="false" ht="15" hidden="false" customHeight="false" outlineLevel="0" collapsed="false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3"/>
    </row>
    <row r="140" customFormat="false" ht="15" hidden="false" customHeight="false" outlineLevel="0" collapsed="false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3"/>
    </row>
    <row r="141" customFormat="false" ht="15" hidden="false" customHeight="false" outlineLevel="0" collapsed="false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3"/>
    </row>
    <row r="142" customFormat="false" ht="15" hidden="false" customHeight="false" outlineLevel="0" collapsed="false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3"/>
    </row>
    <row r="143" customFormat="false" ht="15" hidden="false" customHeight="false" outlineLevel="0" collapsed="false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3"/>
    </row>
    <row r="144" customFormat="false" ht="15" hidden="false" customHeight="false" outlineLevel="0" collapsed="false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3"/>
    </row>
    <row r="145" customFormat="false" ht="15" hidden="false" customHeight="false" outlineLevel="0" collapsed="false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3"/>
    </row>
    <row r="146" customFormat="false" ht="15" hidden="false" customHeight="false" outlineLevel="0" collapsed="false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3"/>
    </row>
    <row r="147" customFormat="false" ht="15" hidden="false" customHeight="false" outlineLevel="0" collapsed="false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3"/>
    </row>
    <row r="148" customFormat="false" ht="15" hidden="false" customHeight="false" outlineLevel="0" collapsed="false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3"/>
    </row>
    <row r="149" customFormat="false" ht="15" hidden="false" customHeight="false" outlineLevel="0" collapsed="false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3"/>
    </row>
    <row r="150" customFormat="false" ht="15" hidden="false" customHeight="false" outlineLevel="0" collapsed="false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3"/>
    </row>
    <row r="151" customFormat="false" ht="15" hidden="false" customHeight="false" outlineLevel="0" collapsed="false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3"/>
    </row>
    <row r="152" customFormat="false" ht="15" hidden="false" customHeight="false" outlineLevel="0" collapsed="false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3"/>
    </row>
    <row r="153" customFormat="false" ht="15" hidden="false" customHeight="false" outlineLevel="0" collapsed="false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3"/>
    </row>
    <row r="154" customFormat="false" ht="15" hidden="false" customHeight="false" outlineLevel="0" collapsed="false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3"/>
    </row>
    <row r="155" customFormat="false" ht="15" hidden="false" customHeight="false" outlineLevel="0" collapsed="false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3"/>
    </row>
    <row r="156" customFormat="false" ht="15" hidden="false" customHeight="false" outlineLevel="0" collapsed="false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3"/>
    </row>
    <row r="157" customFormat="false" ht="15" hidden="false" customHeight="false" outlineLevel="0" collapsed="false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3"/>
    </row>
    <row r="158" customFormat="false" ht="15" hidden="false" customHeight="false" outlineLevel="0" collapsed="false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3"/>
    </row>
    <row r="159" customFormat="false" ht="15" hidden="false" customHeight="false" outlineLevel="0" collapsed="false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3"/>
    </row>
    <row r="160" customFormat="false" ht="15" hidden="false" customHeight="false" outlineLevel="0" collapsed="false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3"/>
    </row>
    <row r="161" customFormat="false" ht="15" hidden="false" customHeight="false" outlineLevel="0" collapsed="false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3"/>
    </row>
    <row r="162" customFormat="false" ht="15" hidden="false" customHeight="false" outlineLevel="0" collapsed="false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3"/>
    </row>
    <row r="163" customFormat="false" ht="15" hidden="false" customHeight="false" outlineLevel="0" collapsed="false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3"/>
    </row>
    <row r="164" customFormat="false" ht="15" hidden="false" customHeight="false" outlineLevel="0" collapsed="false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3"/>
    </row>
    <row r="165" customFormat="false" ht="15" hidden="false" customHeight="false" outlineLevel="0" collapsed="false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3"/>
    </row>
    <row r="166" customFormat="false" ht="15" hidden="false" customHeight="false" outlineLevel="0" collapsed="false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3"/>
    </row>
    <row r="167" customFormat="false" ht="15" hidden="false" customHeight="false" outlineLevel="0" collapsed="false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3"/>
    </row>
    <row r="168" customFormat="false" ht="15" hidden="false" customHeight="false" outlineLevel="0" collapsed="false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3"/>
    </row>
    <row r="169" customFormat="false" ht="15" hidden="false" customHeight="false" outlineLevel="0" collapsed="false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3"/>
    </row>
    <row r="170" customFormat="false" ht="15" hidden="false" customHeight="false" outlineLevel="0" collapsed="false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3"/>
    </row>
    <row r="171" customFormat="false" ht="15" hidden="false" customHeight="false" outlineLevel="0" collapsed="false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3"/>
    </row>
    <row r="172" customFormat="false" ht="15" hidden="false" customHeight="false" outlineLevel="0" collapsed="false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3"/>
    </row>
    <row r="173" customFormat="false" ht="15" hidden="false" customHeight="false" outlineLevel="0" collapsed="false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3"/>
    </row>
    <row r="174" customFormat="false" ht="15" hidden="false" customHeight="false" outlineLevel="0" collapsed="false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3"/>
    </row>
    <row r="175" customFormat="false" ht="15" hidden="false" customHeight="false" outlineLevel="0" collapsed="false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3"/>
    </row>
    <row r="176" customFormat="false" ht="15" hidden="false" customHeight="false" outlineLevel="0" collapsed="false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3"/>
    </row>
    <row r="177" customFormat="false" ht="15" hidden="false" customHeight="false" outlineLevel="0" collapsed="false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3"/>
    </row>
    <row r="178" customFormat="false" ht="15" hidden="false" customHeight="false" outlineLevel="0" collapsed="false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3"/>
    </row>
    <row r="179" customFormat="false" ht="15" hidden="false" customHeight="false" outlineLevel="0" collapsed="false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3"/>
    </row>
    <row r="180" customFormat="false" ht="15" hidden="false" customHeight="false" outlineLevel="0" collapsed="false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3"/>
    </row>
    <row r="181" customFormat="false" ht="15" hidden="false" customHeight="false" outlineLevel="0" collapsed="false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3"/>
    </row>
    <row r="182" customFormat="false" ht="15" hidden="false" customHeight="false" outlineLevel="0" collapsed="false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3"/>
    </row>
    <row r="183" customFormat="false" ht="15" hidden="false" customHeight="false" outlineLevel="0" collapsed="false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3"/>
    </row>
    <row r="184" customFormat="false" ht="15" hidden="false" customHeight="false" outlineLevel="0" collapsed="false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3"/>
    </row>
    <row r="185" customFormat="false" ht="15" hidden="false" customHeight="false" outlineLevel="0" collapsed="false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3"/>
    </row>
    <row r="186" customFormat="false" ht="15" hidden="false" customHeight="false" outlineLevel="0" collapsed="false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3"/>
    </row>
    <row r="187" customFormat="false" ht="15" hidden="false" customHeight="false" outlineLevel="0" collapsed="false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3"/>
    </row>
    <row r="188" customFormat="false" ht="15" hidden="false" customHeight="false" outlineLevel="0" collapsed="false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3"/>
    </row>
    <row r="189" customFormat="false" ht="15" hidden="false" customHeight="false" outlineLevel="0" collapsed="false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3"/>
    </row>
    <row r="190" customFormat="false" ht="15" hidden="false" customHeight="false" outlineLevel="0" collapsed="false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3"/>
    </row>
    <row r="191" customFormat="false" ht="15" hidden="false" customHeight="false" outlineLevel="0" collapsed="false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3"/>
    </row>
    <row r="192" customFormat="false" ht="15" hidden="false" customHeight="false" outlineLevel="0" collapsed="false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3"/>
    </row>
    <row r="193" customFormat="false" ht="15" hidden="false" customHeight="false" outlineLevel="0" collapsed="false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3"/>
    </row>
    <row r="194" customFormat="false" ht="15" hidden="false" customHeight="false" outlineLevel="0" collapsed="false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3"/>
    </row>
    <row r="195" customFormat="false" ht="15" hidden="false" customHeight="false" outlineLevel="0" collapsed="false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3"/>
    </row>
    <row r="196" customFormat="false" ht="15" hidden="false" customHeight="false" outlineLevel="0" collapsed="false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3"/>
    </row>
    <row r="197" customFormat="false" ht="15" hidden="false" customHeight="false" outlineLevel="0" collapsed="false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3"/>
    </row>
    <row r="198" customFormat="false" ht="15" hidden="false" customHeight="false" outlineLevel="0" collapsed="false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3"/>
    </row>
    <row r="199" customFormat="false" ht="15" hidden="false" customHeight="false" outlineLevel="0" collapsed="false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3"/>
    </row>
    <row r="200" customFormat="false" ht="15" hidden="false" customHeight="false" outlineLevel="0" collapsed="false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3"/>
    </row>
  </sheetData>
  <autoFilter ref="A1:R16"/>
  <dataValidations count="3">
    <dataValidation allowBlank="true" error="Pick a type from the list." errorStyle="stop" errorTitle="Type" operator="between" showDropDown="false" showErrorMessage="true" showInputMessage="false" sqref="F2:F200" type="list">
      <formula1>"Orientation,SEA Core (Level 1 hub),Core course,Micro-credential,Programme,External programme,Expert recognition"</formula1>
      <formula2>0</formula2>
    </dataValidation>
    <dataValidation allowBlank="true" error="Level is a number from 0 to 5." errorStyle="stop" operator="between" showDropDown="false" showErrorMessage="true" showInputMessage="false" sqref="G2:G200" type="whole">
      <formula1>0</formula1>
      <formula2>5</formula2>
    </dataValidation>
    <dataValidation allowBlank="true" error="Use a track Key from the Tracks sheet." errorStyle="stop" operator="between" showDropDown="false" showErrorMessage="true" showInputMessage="false" sqref="H2:I200" type="list">
      <formula1>Tracks!$A$2:$A$60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</cols>
  <sheetData>
    <row r="1" customFormat="false" ht="33.75" hidden="false" customHeight="true" outlineLevel="0" collapsed="false">
      <c r="A1" s="8" t="s">
        <v>289</v>
      </c>
      <c r="B1" s="10" t="s">
        <v>290</v>
      </c>
    </row>
    <row r="2" customFormat="false" ht="15" hidden="false" customHeight="false" outlineLevel="0" collapsed="false">
      <c r="A2" s="11" t="s">
        <v>291</v>
      </c>
      <c r="B2" s="13"/>
    </row>
    <row r="3" customFormat="false" ht="15" hidden="false" customHeight="false" outlineLevel="0" collapsed="false">
      <c r="A3" s="11" t="s">
        <v>292</v>
      </c>
      <c r="B3" s="13"/>
    </row>
    <row r="4" customFormat="false" ht="15" hidden="false" customHeight="false" outlineLevel="0" collapsed="false">
      <c r="A4" s="11" t="s">
        <v>293</v>
      </c>
      <c r="B4" s="13" t="s">
        <v>294</v>
      </c>
    </row>
    <row r="5" customFormat="false" ht="15" hidden="false" customHeight="false" outlineLevel="0" collapsed="false">
      <c r="A5" s="11" t="s">
        <v>295</v>
      </c>
      <c r="B5" s="13"/>
    </row>
    <row r="6" customFormat="false" ht="15" hidden="false" customHeight="false" outlineLevel="0" collapsed="false">
      <c r="A6" s="11"/>
      <c r="B6" s="13"/>
    </row>
    <row r="7" customFormat="false" ht="15" hidden="false" customHeight="false" outlineLevel="0" collapsed="false">
      <c r="A7" s="11"/>
      <c r="B7" s="13"/>
    </row>
    <row r="8" customFormat="false" ht="15" hidden="false" customHeight="false" outlineLevel="0" collapsed="false">
      <c r="A8" s="11"/>
      <c r="B8" s="13"/>
    </row>
    <row r="9" customFormat="false" ht="15" hidden="false" customHeight="false" outlineLevel="0" collapsed="false">
      <c r="A9" s="11"/>
      <c r="B9" s="13"/>
    </row>
    <row r="10" customFormat="false" ht="15" hidden="false" customHeight="false" outlineLevel="0" collapsed="false">
      <c r="A10" s="11"/>
      <c r="B10" s="13"/>
    </row>
    <row r="11" customFormat="false" ht="15" hidden="false" customHeight="false" outlineLevel="0" collapsed="false">
      <c r="A11" s="11"/>
      <c r="B11" s="13"/>
    </row>
    <row r="12" customFormat="false" ht="15" hidden="false" customHeight="false" outlineLevel="0" collapsed="false">
      <c r="A12" s="11"/>
      <c r="B12" s="13"/>
    </row>
    <row r="13" customFormat="false" ht="15" hidden="false" customHeight="false" outlineLevel="0" collapsed="false">
      <c r="A13" s="11"/>
      <c r="B13" s="13"/>
    </row>
    <row r="14" customFormat="false" ht="15" hidden="false" customHeight="false" outlineLevel="0" collapsed="false">
      <c r="A14" s="11"/>
      <c r="B14" s="13"/>
    </row>
    <row r="15" customFormat="false" ht="15" hidden="false" customHeight="false" outlineLevel="0" collapsed="false">
      <c r="A15" s="11"/>
      <c r="B15" s="13"/>
    </row>
    <row r="16" customFormat="false" ht="15" hidden="false" customHeight="false" outlineLevel="0" collapsed="false">
      <c r="A16" s="11"/>
      <c r="B16" s="13"/>
    </row>
    <row r="17" customFormat="false" ht="15" hidden="false" customHeight="false" outlineLevel="0" collapsed="false">
      <c r="A17" s="11"/>
      <c r="B17" s="13"/>
    </row>
    <row r="18" customFormat="false" ht="15" hidden="false" customHeight="false" outlineLevel="0" collapsed="false">
      <c r="A18" s="11"/>
      <c r="B18" s="13"/>
    </row>
    <row r="19" customFormat="false" ht="15" hidden="false" customHeight="false" outlineLevel="0" collapsed="false">
      <c r="A19" s="11"/>
      <c r="B19" s="13"/>
    </row>
    <row r="20" customFormat="false" ht="15" hidden="false" customHeight="false" outlineLevel="0" collapsed="false">
      <c r="A20" s="11"/>
      <c r="B20" s="13"/>
    </row>
    <row r="21" customFormat="false" ht="15" hidden="false" customHeight="false" outlineLevel="0" collapsed="false">
      <c r="A21" s="11"/>
      <c r="B21" s="13"/>
    </row>
    <row r="22" customFormat="false" ht="15" hidden="false" customHeight="false" outlineLevel="0" collapsed="false">
      <c r="A22" s="11"/>
      <c r="B22" s="13"/>
    </row>
    <row r="23" customFormat="false" ht="15" hidden="false" customHeight="false" outlineLevel="0" collapsed="false">
      <c r="A23" s="11"/>
      <c r="B23" s="13"/>
    </row>
    <row r="24" customFormat="false" ht="15" hidden="false" customHeight="false" outlineLevel="0" collapsed="false">
      <c r="A24" s="11"/>
      <c r="B24" s="13"/>
    </row>
    <row r="25" customFormat="false" ht="15" hidden="false" customHeight="false" outlineLevel="0" collapsed="false">
      <c r="A25" s="11"/>
      <c r="B25" s="13"/>
    </row>
    <row r="26" customFormat="false" ht="15" hidden="false" customHeight="false" outlineLevel="0" collapsed="false">
      <c r="A26" s="11"/>
      <c r="B26" s="13"/>
    </row>
    <row r="27" customFormat="false" ht="15" hidden="false" customHeight="false" outlineLevel="0" collapsed="false">
      <c r="A27" s="11"/>
      <c r="B27" s="13"/>
    </row>
    <row r="28" customFormat="false" ht="15" hidden="false" customHeight="false" outlineLevel="0" collapsed="false">
      <c r="A28" s="11"/>
      <c r="B28" s="13"/>
    </row>
    <row r="29" customFormat="false" ht="15" hidden="false" customHeight="false" outlineLevel="0" collapsed="false">
      <c r="A29" s="11"/>
      <c r="B29" s="13"/>
    </row>
    <row r="30" customFormat="false" ht="15" hidden="false" customHeight="false" outlineLevel="0" collapsed="false">
      <c r="A30" s="11"/>
      <c r="B30" s="13"/>
    </row>
    <row r="31" customFormat="false" ht="15" hidden="false" customHeight="false" outlineLevel="0" collapsed="false">
      <c r="A31" s="11"/>
      <c r="B31" s="13"/>
    </row>
    <row r="32" customFormat="false" ht="15" hidden="false" customHeight="false" outlineLevel="0" collapsed="false">
      <c r="A32" s="11"/>
      <c r="B32" s="13"/>
    </row>
    <row r="33" customFormat="false" ht="15" hidden="false" customHeight="false" outlineLevel="0" collapsed="false">
      <c r="A33" s="11"/>
      <c r="B33" s="13"/>
    </row>
    <row r="34" customFormat="false" ht="15" hidden="false" customHeight="false" outlineLevel="0" collapsed="false">
      <c r="A34" s="11"/>
      <c r="B34" s="13"/>
    </row>
    <row r="35" customFormat="false" ht="15" hidden="false" customHeight="false" outlineLevel="0" collapsed="false">
      <c r="A35" s="11"/>
      <c r="B35" s="13"/>
    </row>
    <row r="36" customFormat="false" ht="15" hidden="false" customHeight="false" outlineLevel="0" collapsed="false">
      <c r="A36" s="11"/>
      <c r="B36" s="13"/>
    </row>
    <row r="37" customFormat="false" ht="15" hidden="false" customHeight="false" outlineLevel="0" collapsed="false">
      <c r="A37" s="11"/>
      <c r="B37" s="13"/>
    </row>
    <row r="38" customFormat="false" ht="15" hidden="false" customHeight="false" outlineLevel="0" collapsed="false">
      <c r="A38" s="11"/>
      <c r="B38" s="13"/>
    </row>
    <row r="39" customFormat="false" ht="15" hidden="false" customHeight="false" outlineLevel="0" collapsed="false">
      <c r="A39" s="11"/>
      <c r="B39" s="13"/>
    </row>
    <row r="40" customFormat="false" ht="15" hidden="false" customHeight="false" outlineLevel="0" collapsed="false">
      <c r="A40" s="11"/>
      <c r="B40" s="13"/>
    </row>
    <row r="41" customFormat="false" ht="15" hidden="false" customHeight="false" outlineLevel="0" collapsed="false">
      <c r="A41" s="11"/>
      <c r="B41" s="13"/>
    </row>
    <row r="42" customFormat="false" ht="15" hidden="false" customHeight="false" outlineLevel="0" collapsed="false">
      <c r="A42" s="11"/>
      <c r="B42" s="13"/>
    </row>
    <row r="43" customFormat="false" ht="15" hidden="false" customHeight="false" outlineLevel="0" collapsed="false">
      <c r="A43" s="11"/>
      <c r="B43" s="13"/>
    </row>
    <row r="44" customFormat="false" ht="15" hidden="false" customHeight="false" outlineLevel="0" collapsed="false">
      <c r="A44" s="11"/>
      <c r="B44" s="13"/>
    </row>
    <row r="45" customFormat="false" ht="15" hidden="false" customHeight="false" outlineLevel="0" collapsed="false">
      <c r="A45" s="11"/>
      <c r="B45" s="13"/>
    </row>
    <row r="46" customFormat="false" ht="15" hidden="false" customHeight="false" outlineLevel="0" collapsed="false">
      <c r="A46" s="11"/>
      <c r="B46" s="13"/>
    </row>
    <row r="47" customFormat="false" ht="15" hidden="false" customHeight="false" outlineLevel="0" collapsed="false">
      <c r="A47" s="11"/>
      <c r="B47" s="13"/>
    </row>
    <row r="48" customFormat="false" ht="15" hidden="false" customHeight="false" outlineLevel="0" collapsed="false">
      <c r="A48" s="11"/>
      <c r="B48" s="13"/>
    </row>
    <row r="49" customFormat="false" ht="15" hidden="false" customHeight="false" outlineLevel="0" collapsed="false">
      <c r="A49" s="11"/>
      <c r="B49" s="13"/>
    </row>
    <row r="50" customFormat="false" ht="15" hidden="false" customHeight="false" outlineLevel="0" collapsed="false">
      <c r="A50" s="11"/>
      <c r="B50" s="13"/>
    </row>
    <row r="51" customFormat="false" ht="15" hidden="false" customHeight="false" outlineLevel="0" collapsed="false">
      <c r="A51" s="11"/>
      <c r="B51" s="13"/>
    </row>
    <row r="52" customFormat="false" ht="15" hidden="false" customHeight="false" outlineLevel="0" collapsed="false">
      <c r="A52" s="11"/>
      <c r="B52" s="13"/>
    </row>
    <row r="53" customFormat="false" ht="15" hidden="false" customHeight="false" outlineLevel="0" collapsed="false">
      <c r="A53" s="11"/>
      <c r="B53" s="13"/>
    </row>
    <row r="54" customFormat="false" ht="15" hidden="false" customHeight="false" outlineLevel="0" collapsed="false">
      <c r="A54" s="11"/>
      <c r="B54" s="13"/>
    </row>
    <row r="55" customFormat="false" ht="15" hidden="false" customHeight="false" outlineLevel="0" collapsed="false">
      <c r="A55" s="11"/>
      <c r="B55" s="13"/>
    </row>
    <row r="56" customFormat="false" ht="15" hidden="false" customHeight="false" outlineLevel="0" collapsed="false">
      <c r="A56" s="11"/>
      <c r="B56" s="13"/>
    </row>
    <row r="57" customFormat="false" ht="15" hidden="false" customHeight="false" outlineLevel="0" collapsed="false">
      <c r="A57" s="11"/>
      <c r="B57" s="13"/>
    </row>
    <row r="58" customFormat="false" ht="15" hidden="false" customHeight="false" outlineLevel="0" collapsed="false">
      <c r="A58" s="11"/>
      <c r="B58" s="13"/>
    </row>
    <row r="59" customFormat="false" ht="15" hidden="false" customHeight="false" outlineLevel="0" collapsed="false">
      <c r="A59" s="11"/>
      <c r="B59" s="13"/>
    </row>
    <row r="60" customFormat="false" ht="15" hidden="false" customHeight="false" outlineLevel="0" collapsed="false">
      <c r="A60" s="11"/>
      <c r="B60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15" t="s">
        <v>296</v>
      </c>
      <c r="B1" s="15" t="s">
        <v>46</v>
      </c>
      <c r="C1" s="15" t="s">
        <v>112</v>
      </c>
      <c r="D1" s="15" t="s">
        <v>297</v>
      </c>
      <c r="E1" s="15" t="s">
        <v>298</v>
      </c>
    </row>
    <row r="2" customFormat="false" ht="15" hidden="false" customHeight="false" outlineLevel="0" collapsed="false">
      <c r="A2" s="16" t="s">
        <v>70</v>
      </c>
      <c r="B2" s="16" t="n">
        <v>2</v>
      </c>
      <c r="C2" s="16" t="n">
        <f aca="false">INDEX(Levels!$L$2:$L$7,MATCH(B2,Levels!$A$2:$A$7,0))</f>
        <v>3</v>
      </c>
      <c r="D2" s="16" t="n">
        <f aca="false">SUMPRODUCT((Courses!$G$2:$G$200=B2)*((Courses!$H$2:$H$200="digital")+(Courses!$I$2:$I$200="digital"))*((Courses!$F$2:$F$200="Programme")*2+1))</f>
        <v>1</v>
      </c>
      <c r="E2" s="16" t="n">
        <f aca="false">MAX(0,C2-D2)</f>
        <v>2</v>
      </c>
    </row>
    <row r="3" customFormat="false" ht="15" hidden="false" customHeight="false" outlineLevel="0" collapsed="false">
      <c r="A3" s="16" t="s">
        <v>70</v>
      </c>
      <c r="B3" s="16" t="n">
        <v>3</v>
      </c>
      <c r="C3" s="16" t="n">
        <f aca="false">INDEX(Levels!$L$2:$L$7,MATCH(B3,Levels!$A$2:$A$7,0))</f>
        <v>3</v>
      </c>
      <c r="D3" s="16" t="n">
        <f aca="false">SUMPRODUCT((Courses!$G$2:$G$200=B3)*((Courses!$H$2:$H$200="digital")+(Courses!$I$2:$I$200="digital"))*((Courses!$F$2:$F$200="Programme")*2+1))</f>
        <v>0</v>
      </c>
      <c r="E3" s="16" t="n">
        <f aca="false">MAX(0,C3-D3)</f>
        <v>3</v>
      </c>
    </row>
    <row r="4" customFormat="false" ht="15" hidden="false" customHeight="false" outlineLevel="0" collapsed="false">
      <c r="A4" s="16" t="s">
        <v>70</v>
      </c>
      <c r="B4" s="16" t="n">
        <v>4</v>
      </c>
      <c r="C4" s="16" t="n">
        <f aca="false">INDEX(Levels!$L$2:$L$7,MATCH(B4,Levels!$A$2:$A$7,0))</f>
        <v>2</v>
      </c>
      <c r="D4" s="16" t="n">
        <f aca="false">SUMPRODUCT((Courses!$G$2:$G$200=B4)*((Courses!$H$2:$H$200="digital")+(Courses!$I$2:$I$200="digital"))*((Courses!$F$2:$F$200="Programme")*2+1))</f>
        <v>0</v>
      </c>
      <c r="E4" s="16" t="n">
        <f aca="false">MAX(0,C4-D4)</f>
        <v>2</v>
      </c>
    </row>
    <row r="5" customFormat="false" ht="15" hidden="false" customHeight="false" outlineLevel="0" collapsed="false">
      <c r="A5" s="16" t="s">
        <v>75</v>
      </c>
      <c r="B5" s="16" t="n">
        <v>2</v>
      </c>
      <c r="C5" s="16" t="n">
        <f aca="false">INDEX(Levels!$L$2:$L$7,MATCH(B5,Levels!$A$2:$A$7,0))</f>
        <v>3</v>
      </c>
      <c r="D5" s="16" t="n">
        <f aca="false">SUMPRODUCT((Courses!$G$2:$G$200=B5)*((Courses!$H$2:$H$200="tl")+(Courses!$I$2:$I$200="tl"))*((Courses!$F$2:$F$200="Programme")*2+1))</f>
        <v>2</v>
      </c>
      <c r="E5" s="16" t="n">
        <f aca="false">MAX(0,C5-D5)</f>
        <v>1</v>
      </c>
    </row>
    <row r="6" customFormat="false" ht="15" hidden="false" customHeight="false" outlineLevel="0" collapsed="false">
      <c r="A6" s="16" t="s">
        <v>75</v>
      </c>
      <c r="B6" s="16" t="n">
        <v>3</v>
      </c>
      <c r="C6" s="16" t="n">
        <f aca="false">INDEX(Levels!$L$2:$L$7,MATCH(B6,Levels!$A$2:$A$7,0))</f>
        <v>3</v>
      </c>
      <c r="D6" s="16" t="n">
        <f aca="false">SUMPRODUCT((Courses!$G$2:$G$200=B6)*((Courses!$H$2:$H$200="tl")+(Courses!$I$2:$I$200="tl"))*((Courses!$F$2:$F$200="Programme")*2+1))</f>
        <v>0</v>
      </c>
      <c r="E6" s="16" t="n">
        <f aca="false">MAX(0,C6-D6)</f>
        <v>3</v>
      </c>
    </row>
    <row r="7" customFormat="false" ht="15" hidden="false" customHeight="false" outlineLevel="0" collapsed="false">
      <c r="A7" s="16" t="s">
        <v>75</v>
      </c>
      <c r="B7" s="16" t="n">
        <v>4</v>
      </c>
      <c r="C7" s="16" t="n">
        <f aca="false">INDEX(Levels!$L$2:$L$7,MATCH(B7,Levels!$A$2:$A$7,0))</f>
        <v>2</v>
      </c>
      <c r="D7" s="16" t="n">
        <f aca="false">SUMPRODUCT((Courses!$G$2:$G$200=B7)*((Courses!$H$2:$H$200="tl")+(Courses!$I$2:$I$200="tl"))*((Courses!$F$2:$F$200="Programme")*2+1))</f>
        <v>0</v>
      </c>
      <c r="E7" s="16" t="n">
        <f aca="false">MAX(0,C7-D7)</f>
        <v>2</v>
      </c>
    </row>
    <row r="8" customFormat="false" ht="15" hidden="false" customHeight="false" outlineLevel="0" collapsed="false">
      <c r="A8" s="16" t="s">
        <v>80</v>
      </c>
      <c r="B8" s="16" t="n">
        <v>2</v>
      </c>
      <c r="C8" s="16" t="n">
        <f aca="false">INDEX(Levels!$L$2:$L$7,MATCH(B8,Levels!$A$2:$A$7,0))</f>
        <v>3</v>
      </c>
      <c r="D8" s="16" t="n">
        <f aca="false">SUMPRODUCT((Courses!$G$2:$G$200=B8)*((Courses!$H$2:$H$200="ec")+(Courses!$I$2:$I$200="ec"))*((Courses!$F$2:$F$200="Programme")*2+1))</f>
        <v>4</v>
      </c>
      <c r="E8" s="16" t="n">
        <f aca="false">MAX(0,C8-D8)</f>
        <v>0</v>
      </c>
    </row>
    <row r="9" customFormat="false" ht="15" hidden="false" customHeight="false" outlineLevel="0" collapsed="false">
      <c r="A9" s="16" t="s">
        <v>80</v>
      </c>
      <c r="B9" s="16" t="n">
        <v>3</v>
      </c>
      <c r="C9" s="16" t="n">
        <f aca="false">INDEX(Levels!$L$2:$L$7,MATCH(B9,Levels!$A$2:$A$7,0))</f>
        <v>3</v>
      </c>
      <c r="D9" s="16" t="n">
        <f aca="false">SUMPRODUCT((Courses!$G$2:$G$200=B9)*((Courses!$H$2:$H$200="ec")+(Courses!$I$2:$I$200="ec"))*((Courses!$F$2:$F$200="Programme")*2+1))</f>
        <v>3</v>
      </c>
      <c r="E9" s="16" t="n">
        <f aca="false">MAX(0,C9-D9)</f>
        <v>0</v>
      </c>
    </row>
    <row r="10" customFormat="false" ht="15" hidden="false" customHeight="false" outlineLevel="0" collapsed="false">
      <c r="A10" s="16" t="s">
        <v>80</v>
      </c>
      <c r="B10" s="16" t="n">
        <v>4</v>
      </c>
      <c r="C10" s="16" t="n">
        <f aca="false">INDEX(Levels!$L$2:$L$7,MATCH(B10,Levels!$A$2:$A$7,0))</f>
        <v>2</v>
      </c>
      <c r="D10" s="16" t="n">
        <f aca="false">SUMPRODUCT((Courses!$G$2:$G$200=B10)*((Courses!$H$2:$H$200="ec")+(Courses!$I$2:$I$200="ec"))*((Courses!$F$2:$F$200="Programme")*2+1))</f>
        <v>0</v>
      </c>
      <c r="E10" s="16" t="n">
        <f aca="false">MAX(0,C10-D10)</f>
        <v>2</v>
      </c>
    </row>
    <row r="11" customFormat="false" ht="15" hidden="false" customHeight="false" outlineLevel="0" collapsed="false">
      <c r="A11" s="16" t="s">
        <v>85</v>
      </c>
      <c r="B11" s="16" t="n">
        <v>2</v>
      </c>
      <c r="C11" s="16" t="n">
        <f aca="false">INDEX(Levels!$L$2:$L$7,MATCH(B11,Levels!$A$2:$A$7,0))</f>
        <v>3</v>
      </c>
      <c r="D11" s="16" t="n">
        <f aca="false">SUMPRODUCT((Courses!$G$2:$G$200=B11)*((Courses!$H$2:$H$200="lead")+(Courses!$I$2:$I$200="lead"))*((Courses!$F$2:$F$200="Programme")*2+1))</f>
        <v>0</v>
      </c>
      <c r="E11" s="16" t="n">
        <f aca="false">MAX(0,C11-D11)</f>
        <v>3</v>
      </c>
    </row>
    <row r="12" customFormat="false" ht="15" hidden="false" customHeight="false" outlineLevel="0" collapsed="false">
      <c r="A12" s="16" t="s">
        <v>85</v>
      </c>
      <c r="B12" s="16" t="n">
        <v>3</v>
      </c>
      <c r="C12" s="16" t="n">
        <f aca="false">INDEX(Levels!$L$2:$L$7,MATCH(B12,Levels!$A$2:$A$7,0))</f>
        <v>3</v>
      </c>
      <c r="D12" s="16" t="n">
        <f aca="false">SUMPRODUCT((Courses!$G$2:$G$200=B12)*((Courses!$H$2:$H$200="lead")+(Courses!$I$2:$I$200="lead"))*((Courses!$F$2:$F$200="Programme")*2+1))</f>
        <v>4</v>
      </c>
      <c r="E12" s="16" t="n">
        <f aca="false">MAX(0,C12-D12)</f>
        <v>0</v>
      </c>
    </row>
    <row r="13" customFormat="false" ht="15" hidden="false" customHeight="false" outlineLevel="0" collapsed="false">
      <c r="A13" s="16" t="s">
        <v>85</v>
      </c>
      <c r="B13" s="16" t="n">
        <v>4</v>
      </c>
      <c r="C13" s="16" t="n">
        <f aca="false">INDEX(Levels!$L$2:$L$7,MATCH(B13,Levels!$A$2:$A$7,0))</f>
        <v>2</v>
      </c>
      <c r="D13" s="16" t="n">
        <f aca="false">SUMPRODUCT((Courses!$G$2:$G$200=B13)*((Courses!$H$2:$H$200="lead")+(Courses!$I$2:$I$200="lead"))*((Courses!$F$2:$F$200="Programme")*2+1))</f>
        <v>1</v>
      </c>
      <c r="E13" s="16" t="n">
        <f aca="false">MAX(0,C13-D13)</f>
        <v>1</v>
      </c>
    </row>
    <row r="14" customFormat="false" ht="15" hidden="false" customHeight="false" outlineLevel="0" collapsed="false">
      <c r="A14" s="16" t="s">
        <v>89</v>
      </c>
      <c r="B14" s="16" t="n">
        <v>2</v>
      </c>
      <c r="C14" s="16" t="n">
        <f aca="false">INDEX(Levels!$L$2:$L$7,MATCH(B14,Levels!$A$2:$A$7,0))</f>
        <v>3</v>
      </c>
      <c r="D14" s="16" t="n">
        <f aca="false">SUMPRODUCT((Courses!$G$2:$G$200=B14)*((Courses!$H$2:$H$200="research")+(Courses!$I$2:$I$200="research"))*((Courses!$F$2:$F$200="Programme")*2+1))</f>
        <v>3</v>
      </c>
      <c r="E14" s="16" t="n">
        <f aca="false">MAX(0,C14-D14)</f>
        <v>0</v>
      </c>
    </row>
    <row r="15" customFormat="false" ht="15" hidden="false" customHeight="false" outlineLevel="0" collapsed="false">
      <c r="A15" s="16" t="s">
        <v>89</v>
      </c>
      <c r="B15" s="16" t="n">
        <v>3</v>
      </c>
      <c r="C15" s="16" t="n">
        <f aca="false">INDEX(Levels!$L$2:$L$7,MATCH(B15,Levels!$A$2:$A$7,0))</f>
        <v>3</v>
      </c>
      <c r="D15" s="16" t="n">
        <f aca="false">SUMPRODUCT((Courses!$G$2:$G$200=B15)*((Courses!$H$2:$H$200="research")+(Courses!$I$2:$I$200="research"))*((Courses!$F$2:$F$200="Programme")*2+1))</f>
        <v>1</v>
      </c>
      <c r="E15" s="16" t="n">
        <f aca="false">MAX(0,C15-D15)</f>
        <v>2</v>
      </c>
    </row>
    <row r="16" customFormat="false" ht="15" hidden="false" customHeight="false" outlineLevel="0" collapsed="false">
      <c r="A16" s="16" t="s">
        <v>89</v>
      </c>
      <c r="B16" s="16" t="n">
        <v>4</v>
      </c>
      <c r="C16" s="16" t="n">
        <f aca="false">INDEX(Levels!$L$2:$L$7,MATCH(B16,Levels!$A$2:$A$7,0))</f>
        <v>2</v>
      </c>
      <c r="D16" s="16" t="n">
        <f aca="false">SUMPRODUCT((Courses!$G$2:$G$200=B16)*((Courses!$H$2:$H$200="research")+(Courses!$I$2:$I$200="research"))*((Courses!$F$2:$F$200="Programme")*2+1))</f>
        <v>0</v>
      </c>
      <c r="E16" s="16" t="n">
        <f aca="false">MAX(0,C16-D16)</f>
        <v>2</v>
      </c>
    </row>
    <row r="17" customFormat="false" ht="15" hidden="false" customHeight="false" outlineLevel="0" collapsed="false">
      <c r="A17" s="16" t="s">
        <v>95</v>
      </c>
      <c r="B17" s="16" t="n">
        <v>2</v>
      </c>
      <c r="C17" s="16" t="n">
        <f aca="false">INDEX(Levels!$L$2:$L$7,MATCH(B17,Levels!$A$2:$A$7,0))</f>
        <v>3</v>
      </c>
      <c r="D17" s="16" t="n">
        <f aca="false">SUMPRODUCT((Courses!$G$2:$G$200=B17)*((Courses!$H$2:$H$200="assess")+(Courses!$I$2:$I$200="assess"))*((Courses!$F$2:$F$200="Programme")*2+1))</f>
        <v>2</v>
      </c>
      <c r="E17" s="16" t="n">
        <f aca="false">MAX(0,C17-D17)</f>
        <v>1</v>
      </c>
    </row>
    <row r="18" customFormat="false" ht="15" hidden="false" customHeight="false" outlineLevel="0" collapsed="false">
      <c r="A18" s="16" t="s">
        <v>95</v>
      </c>
      <c r="B18" s="16" t="n">
        <v>3</v>
      </c>
      <c r="C18" s="16" t="n">
        <f aca="false">INDEX(Levels!$L$2:$L$7,MATCH(B18,Levels!$A$2:$A$7,0))</f>
        <v>3</v>
      </c>
      <c r="D18" s="16" t="n">
        <f aca="false">SUMPRODUCT((Courses!$G$2:$G$200=B18)*((Courses!$H$2:$H$200="assess")+(Courses!$I$2:$I$200="assess"))*((Courses!$F$2:$F$200="Programme")*2+1))</f>
        <v>0</v>
      </c>
      <c r="E18" s="16" t="n">
        <f aca="false">MAX(0,C18-D18)</f>
        <v>3</v>
      </c>
    </row>
    <row r="19" customFormat="false" ht="15" hidden="false" customHeight="false" outlineLevel="0" collapsed="false">
      <c r="A19" s="16" t="s">
        <v>95</v>
      </c>
      <c r="B19" s="16" t="n">
        <v>4</v>
      </c>
      <c r="C19" s="16" t="n">
        <f aca="false">INDEX(Levels!$L$2:$L$7,MATCH(B19,Levels!$A$2:$A$7,0))</f>
        <v>2</v>
      </c>
      <c r="D19" s="16" t="n">
        <f aca="false">SUMPRODUCT((Courses!$G$2:$G$200=B19)*((Courses!$H$2:$H$200="assess")+(Courses!$I$2:$I$200="assess"))*((Courses!$F$2:$F$200="Programme")*2+1))</f>
        <v>0</v>
      </c>
      <c r="E19" s="16" t="n">
        <f aca="false">MAX(0,C19-D19)</f>
        <v>2</v>
      </c>
    </row>
    <row r="20" customFormat="false" ht="15" hidden="false" customHeight="false" outlineLevel="0" collapsed="false">
      <c r="A20" s="16" t="s">
        <v>100</v>
      </c>
      <c r="B20" s="16" t="n">
        <v>2</v>
      </c>
      <c r="C20" s="16" t="n">
        <f aca="false">INDEX(Levels!$L$2:$L$7,MATCH(B20,Levels!$A$2:$A$7,0))</f>
        <v>3</v>
      </c>
      <c r="D20" s="16" t="n">
        <f aca="false">SUMPRODUCT((Courses!$G$2:$G$200=B20)*((Courses!$H$2:$H$200="incl")+(Courses!$I$2:$I$200="incl"))*((Courses!$F$2:$F$200="Programme")*2+1))</f>
        <v>1</v>
      </c>
      <c r="E20" s="16" t="n">
        <f aca="false">MAX(0,C20-D20)</f>
        <v>2</v>
      </c>
    </row>
    <row r="21" customFormat="false" ht="15" hidden="false" customHeight="false" outlineLevel="0" collapsed="false">
      <c r="A21" s="16" t="s">
        <v>100</v>
      </c>
      <c r="B21" s="16" t="n">
        <v>3</v>
      </c>
      <c r="C21" s="16" t="n">
        <f aca="false">INDEX(Levels!$L$2:$L$7,MATCH(B21,Levels!$A$2:$A$7,0))</f>
        <v>3</v>
      </c>
      <c r="D21" s="16" t="n">
        <f aca="false">SUMPRODUCT((Courses!$G$2:$G$200=B21)*((Courses!$H$2:$H$200="incl")+(Courses!$I$2:$I$200="incl"))*((Courses!$F$2:$F$200="Programme")*2+1))</f>
        <v>0</v>
      </c>
      <c r="E21" s="16" t="n">
        <f aca="false">MAX(0,C21-D21)</f>
        <v>3</v>
      </c>
    </row>
    <row r="22" customFormat="false" ht="15" hidden="false" customHeight="false" outlineLevel="0" collapsed="false">
      <c r="A22" s="16" t="s">
        <v>100</v>
      </c>
      <c r="B22" s="16" t="n">
        <v>4</v>
      </c>
      <c r="C22" s="16" t="n">
        <f aca="false">INDEX(Levels!$L$2:$L$7,MATCH(B22,Levels!$A$2:$A$7,0))</f>
        <v>2</v>
      </c>
      <c r="D22" s="16" t="n">
        <f aca="false">SUMPRODUCT((Courses!$G$2:$G$200=B22)*((Courses!$H$2:$H$200="incl")+(Courses!$I$2:$I$200="incl"))*((Courses!$F$2:$F$200="Programme")*2+1))</f>
        <v>0</v>
      </c>
      <c r="E22" s="16" t="n">
        <f aca="false">MAX(0,C22-D22)</f>
        <v>2</v>
      </c>
    </row>
    <row r="24" customFormat="false" ht="15" hidden="false" customHeight="false" outlineLevel="0" collapsed="false">
      <c r="A24" s="7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2026-10-15T12:33:31Z</dcterms:created>
  <dc:creator>openpyxl</dc:creator>
  <dc:description/>
  <dc:language>en-US</dc:language>
  <cp:lastModifiedBy/>
  <dcterms:modified xsi:type="dcterms:W3CDTF">2026-10-15T12:33:32Z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